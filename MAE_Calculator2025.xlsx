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samjones/Downloads/"/>
    </mc:Choice>
  </mc:AlternateContent>
  <xr:revisionPtr revIDLastSave="0" documentId="13_ncr:1_{6E5A9054-1018-C744-8F8B-BC5AF6456333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Tabelle1" sheetId="1" r:id="rId1"/>
    <sheet name="Hoja1" sheetId="2" state="hidden" r:id="rId2"/>
  </sheets>
  <definedNames>
    <definedName name="_xlnm._FilterDatabase" localSheetId="1" hidden="1">Hoja1!$D$7:$L$727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81" i="2" l="1"/>
  <c r="I980" i="2"/>
  <c r="L980" i="2"/>
  <c r="G981" i="2"/>
  <c r="L983" i="2" l="1"/>
  <c r="K6" i="1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50" i="2"/>
  <c r="G350" i="2" s="1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410" i="2"/>
  <c r="G410" i="2" s="1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F430" i="2"/>
  <c r="G430" i="2" s="1"/>
  <c r="F431" i="2"/>
  <c r="G431" i="2" s="1"/>
  <c r="F432" i="2"/>
  <c r="G432" i="2" s="1"/>
  <c r="F433" i="2"/>
  <c r="G433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F455" i="2"/>
  <c r="G455" i="2" s="1"/>
  <c r="F456" i="2"/>
  <c r="G456" i="2" s="1"/>
  <c r="F457" i="2"/>
  <c r="G457" i="2" s="1"/>
  <c r="F458" i="2"/>
  <c r="G458" i="2" s="1"/>
  <c r="F459" i="2"/>
  <c r="G459" i="2" s="1"/>
  <c r="F460" i="2"/>
  <c r="G460" i="2" s="1"/>
  <c r="F461" i="2"/>
  <c r="G461" i="2" s="1"/>
  <c r="F462" i="2"/>
  <c r="G462" i="2" s="1"/>
  <c r="F463" i="2"/>
  <c r="G463" i="2" s="1"/>
  <c r="F464" i="2"/>
  <c r="G464" i="2" s="1"/>
  <c r="F465" i="2"/>
  <c r="G465" i="2" s="1"/>
  <c r="F466" i="2"/>
  <c r="G466" i="2" s="1"/>
  <c r="F467" i="2"/>
  <c r="G467" i="2" s="1"/>
  <c r="F468" i="2"/>
  <c r="G468" i="2" s="1"/>
  <c r="F469" i="2"/>
  <c r="G469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G476" i="2" s="1"/>
  <c r="F477" i="2"/>
  <c r="G477" i="2" s="1"/>
  <c r="F478" i="2"/>
  <c r="G478" i="2" s="1"/>
  <c r="F479" i="2"/>
  <c r="G479" i="2" s="1"/>
  <c r="F480" i="2"/>
  <c r="G480" i="2" s="1"/>
  <c r="F481" i="2"/>
  <c r="G481" i="2" s="1"/>
  <c r="F482" i="2"/>
  <c r="G482" i="2" s="1"/>
  <c r="F483" i="2"/>
  <c r="G483" i="2" s="1"/>
  <c r="F484" i="2"/>
  <c r="G484" i="2" s="1"/>
  <c r="F485" i="2"/>
  <c r="G485" i="2" s="1"/>
  <c r="F486" i="2"/>
  <c r="G486" i="2" s="1"/>
  <c r="F487" i="2"/>
  <c r="G487" i="2" s="1"/>
  <c r="F488" i="2"/>
  <c r="G488" i="2" s="1"/>
  <c r="F489" i="2"/>
  <c r="G489" i="2" s="1"/>
  <c r="F490" i="2"/>
  <c r="G490" i="2" s="1"/>
  <c r="F491" i="2"/>
  <c r="G491" i="2" s="1"/>
  <c r="F492" i="2"/>
  <c r="G492" i="2" s="1"/>
  <c r="F493" i="2"/>
  <c r="G493" i="2" s="1"/>
  <c r="F494" i="2"/>
  <c r="G494" i="2" s="1"/>
  <c r="F495" i="2"/>
  <c r="G495" i="2" s="1"/>
  <c r="F496" i="2"/>
  <c r="G496" i="2" s="1"/>
  <c r="F497" i="2"/>
  <c r="G497" i="2" s="1"/>
  <c r="F498" i="2"/>
  <c r="G498" i="2" s="1"/>
  <c r="F499" i="2"/>
  <c r="G499" i="2" s="1"/>
  <c r="F500" i="2"/>
  <c r="G500" i="2" s="1"/>
  <c r="F501" i="2"/>
  <c r="G501" i="2" s="1"/>
  <c r="F502" i="2"/>
  <c r="G502" i="2" s="1"/>
  <c r="F503" i="2"/>
  <c r="G503" i="2" s="1"/>
  <c r="F504" i="2"/>
  <c r="G504" i="2" s="1"/>
  <c r="F505" i="2"/>
  <c r="G505" i="2" s="1"/>
  <c r="F506" i="2"/>
  <c r="G506" i="2" s="1"/>
  <c r="F507" i="2"/>
  <c r="G507" i="2" s="1"/>
  <c r="F508" i="2"/>
  <c r="G508" i="2" s="1"/>
  <c r="F509" i="2"/>
  <c r="G509" i="2" s="1"/>
  <c r="F510" i="2"/>
  <c r="G510" i="2" s="1"/>
  <c r="F511" i="2"/>
  <c r="G511" i="2" s="1"/>
  <c r="F512" i="2"/>
  <c r="G512" i="2" s="1"/>
  <c r="F513" i="2"/>
  <c r="G513" i="2" s="1"/>
  <c r="F514" i="2"/>
  <c r="G514" i="2" s="1"/>
  <c r="F515" i="2"/>
  <c r="G515" i="2" s="1"/>
  <c r="F516" i="2"/>
  <c r="G516" i="2" s="1"/>
  <c r="F517" i="2"/>
  <c r="G517" i="2" s="1"/>
  <c r="F518" i="2"/>
  <c r="G518" i="2" s="1"/>
  <c r="F519" i="2"/>
  <c r="G519" i="2" s="1"/>
  <c r="F520" i="2"/>
  <c r="G520" i="2" s="1"/>
  <c r="F521" i="2"/>
  <c r="G521" i="2" s="1"/>
  <c r="F522" i="2"/>
  <c r="G522" i="2" s="1"/>
  <c r="F523" i="2"/>
  <c r="G523" i="2" s="1"/>
  <c r="F524" i="2"/>
  <c r="G524" i="2" s="1"/>
  <c r="F525" i="2"/>
  <c r="G525" i="2" s="1"/>
  <c r="F526" i="2"/>
  <c r="G526" i="2" s="1"/>
  <c r="F527" i="2"/>
  <c r="G527" i="2" s="1"/>
  <c r="F528" i="2"/>
  <c r="G528" i="2" s="1"/>
  <c r="F529" i="2"/>
  <c r="G529" i="2" s="1"/>
  <c r="F530" i="2"/>
  <c r="G530" i="2" s="1"/>
  <c r="F531" i="2"/>
  <c r="G531" i="2" s="1"/>
  <c r="F532" i="2"/>
  <c r="G532" i="2" s="1"/>
  <c r="F533" i="2"/>
  <c r="G533" i="2" s="1"/>
  <c r="F534" i="2"/>
  <c r="G534" i="2" s="1"/>
  <c r="F535" i="2"/>
  <c r="G535" i="2" s="1"/>
  <c r="F536" i="2"/>
  <c r="G536" i="2" s="1"/>
  <c r="F537" i="2"/>
  <c r="G537" i="2" s="1"/>
  <c r="F538" i="2"/>
  <c r="G538" i="2" s="1"/>
  <c r="F539" i="2"/>
  <c r="G539" i="2" s="1"/>
  <c r="F540" i="2"/>
  <c r="G540" i="2" s="1"/>
  <c r="F541" i="2"/>
  <c r="G541" i="2" s="1"/>
  <c r="F542" i="2"/>
  <c r="G542" i="2" s="1"/>
  <c r="F543" i="2"/>
  <c r="G543" i="2" s="1"/>
  <c r="F544" i="2"/>
  <c r="G544" i="2" s="1"/>
  <c r="F545" i="2"/>
  <c r="G545" i="2" s="1"/>
  <c r="F546" i="2"/>
  <c r="G546" i="2" s="1"/>
  <c r="F547" i="2"/>
  <c r="G547" i="2" s="1"/>
  <c r="F548" i="2"/>
  <c r="G548" i="2" s="1"/>
  <c r="F549" i="2"/>
  <c r="G549" i="2" s="1"/>
  <c r="F550" i="2"/>
  <c r="G550" i="2" s="1"/>
  <c r="F551" i="2"/>
  <c r="G551" i="2" s="1"/>
  <c r="F552" i="2"/>
  <c r="G552" i="2" s="1"/>
  <c r="F553" i="2"/>
  <c r="G553" i="2" s="1"/>
  <c r="F554" i="2"/>
  <c r="G554" i="2" s="1"/>
  <c r="F555" i="2"/>
  <c r="G555" i="2" s="1"/>
  <c r="F556" i="2"/>
  <c r="G556" i="2" s="1"/>
  <c r="F557" i="2"/>
  <c r="G557" i="2" s="1"/>
  <c r="F558" i="2"/>
  <c r="G558" i="2" s="1"/>
  <c r="F559" i="2"/>
  <c r="G559" i="2" s="1"/>
  <c r="F560" i="2"/>
  <c r="G560" i="2" s="1"/>
  <c r="F561" i="2"/>
  <c r="G561" i="2" s="1"/>
  <c r="F562" i="2"/>
  <c r="G562" i="2" s="1"/>
  <c r="F563" i="2"/>
  <c r="G563" i="2" s="1"/>
  <c r="F564" i="2"/>
  <c r="G564" i="2" s="1"/>
  <c r="F565" i="2"/>
  <c r="G565" i="2" s="1"/>
  <c r="F566" i="2"/>
  <c r="G566" i="2" s="1"/>
  <c r="F567" i="2"/>
  <c r="G567" i="2" s="1"/>
  <c r="F568" i="2"/>
  <c r="G568" i="2" s="1"/>
  <c r="F569" i="2"/>
  <c r="G569" i="2" s="1"/>
  <c r="F570" i="2"/>
  <c r="G570" i="2" s="1"/>
  <c r="F571" i="2"/>
  <c r="G571" i="2" s="1"/>
  <c r="F572" i="2"/>
  <c r="G572" i="2" s="1"/>
  <c r="F573" i="2"/>
  <c r="G573" i="2" s="1"/>
  <c r="F574" i="2"/>
  <c r="G574" i="2" s="1"/>
  <c r="F575" i="2"/>
  <c r="G575" i="2" s="1"/>
  <c r="F576" i="2"/>
  <c r="G576" i="2" s="1"/>
  <c r="F577" i="2"/>
  <c r="G577" i="2" s="1"/>
  <c r="F578" i="2"/>
  <c r="G578" i="2" s="1"/>
  <c r="F579" i="2"/>
  <c r="G579" i="2" s="1"/>
  <c r="F580" i="2"/>
  <c r="G580" i="2" s="1"/>
  <c r="F581" i="2"/>
  <c r="G581" i="2" s="1"/>
  <c r="F582" i="2"/>
  <c r="G582" i="2" s="1"/>
  <c r="F583" i="2"/>
  <c r="G583" i="2" s="1"/>
  <c r="F584" i="2"/>
  <c r="G584" i="2" s="1"/>
  <c r="F585" i="2"/>
  <c r="G585" i="2" s="1"/>
  <c r="F586" i="2"/>
  <c r="G586" i="2" s="1"/>
  <c r="F587" i="2"/>
  <c r="G587" i="2" s="1"/>
  <c r="F588" i="2"/>
  <c r="G588" i="2" s="1"/>
  <c r="F589" i="2"/>
  <c r="G589" i="2" s="1"/>
  <c r="F590" i="2"/>
  <c r="G590" i="2" s="1"/>
  <c r="F591" i="2"/>
  <c r="G591" i="2" s="1"/>
  <c r="F592" i="2"/>
  <c r="G592" i="2" s="1"/>
  <c r="F593" i="2"/>
  <c r="G593" i="2" s="1"/>
  <c r="F594" i="2"/>
  <c r="G594" i="2" s="1"/>
  <c r="F595" i="2"/>
  <c r="G595" i="2" s="1"/>
  <c r="F596" i="2"/>
  <c r="G596" i="2" s="1"/>
  <c r="F597" i="2"/>
  <c r="G597" i="2" s="1"/>
  <c r="F598" i="2"/>
  <c r="G598" i="2" s="1"/>
  <c r="F599" i="2"/>
  <c r="G599" i="2" s="1"/>
  <c r="F600" i="2"/>
  <c r="G600" i="2" s="1"/>
  <c r="F601" i="2"/>
  <c r="G601" i="2" s="1"/>
  <c r="F602" i="2"/>
  <c r="G602" i="2" s="1"/>
  <c r="F603" i="2"/>
  <c r="G603" i="2" s="1"/>
  <c r="F604" i="2"/>
  <c r="G604" i="2" s="1"/>
  <c r="F605" i="2"/>
  <c r="G605" i="2" s="1"/>
  <c r="F606" i="2"/>
  <c r="G606" i="2" s="1"/>
  <c r="F607" i="2"/>
  <c r="G607" i="2" s="1"/>
  <c r="F608" i="2"/>
  <c r="G608" i="2" s="1"/>
  <c r="F609" i="2"/>
  <c r="G609" i="2" s="1"/>
  <c r="F610" i="2"/>
  <c r="G610" i="2" s="1"/>
  <c r="F611" i="2"/>
  <c r="G611" i="2" s="1"/>
  <c r="F612" i="2"/>
  <c r="G612" i="2" s="1"/>
  <c r="F613" i="2"/>
  <c r="G613" i="2" s="1"/>
  <c r="F614" i="2"/>
  <c r="G614" i="2" s="1"/>
  <c r="F615" i="2"/>
  <c r="G615" i="2" s="1"/>
  <c r="F616" i="2"/>
  <c r="G616" i="2" s="1"/>
  <c r="F617" i="2"/>
  <c r="G617" i="2" s="1"/>
  <c r="F618" i="2"/>
  <c r="G618" i="2" s="1"/>
  <c r="F619" i="2"/>
  <c r="G619" i="2" s="1"/>
  <c r="F620" i="2"/>
  <c r="G620" i="2" s="1"/>
  <c r="F621" i="2"/>
  <c r="G621" i="2" s="1"/>
  <c r="F622" i="2"/>
  <c r="G622" i="2" s="1"/>
  <c r="F623" i="2"/>
  <c r="G623" i="2" s="1"/>
  <c r="F624" i="2"/>
  <c r="G624" i="2" s="1"/>
  <c r="F625" i="2"/>
  <c r="G625" i="2" s="1"/>
  <c r="F626" i="2"/>
  <c r="G626" i="2" s="1"/>
  <c r="F627" i="2"/>
  <c r="G627" i="2" s="1"/>
  <c r="F628" i="2"/>
  <c r="G628" i="2" s="1"/>
  <c r="F629" i="2"/>
  <c r="G629" i="2" s="1"/>
  <c r="F630" i="2"/>
  <c r="G630" i="2" s="1"/>
  <c r="F631" i="2"/>
  <c r="G631" i="2" s="1"/>
  <c r="F632" i="2"/>
  <c r="G632" i="2" s="1"/>
  <c r="F633" i="2"/>
  <c r="G633" i="2" s="1"/>
  <c r="F634" i="2"/>
  <c r="G634" i="2" s="1"/>
  <c r="F635" i="2"/>
  <c r="G635" i="2" s="1"/>
  <c r="F636" i="2"/>
  <c r="G636" i="2" s="1"/>
  <c r="F637" i="2"/>
  <c r="G637" i="2" s="1"/>
  <c r="F638" i="2"/>
  <c r="G638" i="2" s="1"/>
  <c r="F639" i="2"/>
  <c r="G639" i="2" s="1"/>
  <c r="F640" i="2"/>
  <c r="G640" i="2" s="1"/>
  <c r="F641" i="2"/>
  <c r="G641" i="2" s="1"/>
  <c r="F642" i="2"/>
  <c r="G642" i="2" s="1"/>
  <c r="F643" i="2"/>
  <c r="G643" i="2" s="1"/>
  <c r="F644" i="2"/>
  <c r="G644" i="2" s="1"/>
  <c r="F645" i="2"/>
  <c r="G645" i="2" s="1"/>
  <c r="F646" i="2"/>
  <c r="G646" i="2" s="1"/>
  <c r="F647" i="2"/>
  <c r="G647" i="2" s="1"/>
  <c r="F648" i="2"/>
  <c r="G648" i="2" s="1"/>
  <c r="F649" i="2"/>
  <c r="G649" i="2" s="1"/>
  <c r="F650" i="2"/>
  <c r="G650" i="2" s="1"/>
  <c r="F651" i="2"/>
  <c r="G651" i="2" s="1"/>
  <c r="F652" i="2"/>
  <c r="G652" i="2" s="1"/>
  <c r="F653" i="2"/>
  <c r="G653" i="2" s="1"/>
  <c r="F654" i="2"/>
  <c r="G654" i="2" s="1"/>
  <c r="F655" i="2"/>
  <c r="G655" i="2" s="1"/>
  <c r="F656" i="2"/>
  <c r="G656" i="2" s="1"/>
  <c r="F657" i="2"/>
  <c r="G657" i="2" s="1"/>
  <c r="F658" i="2"/>
  <c r="G658" i="2" s="1"/>
  <c r="F659" i="2"/>
  <c r="G659" i="2" s="1"/>
  <c r="F660" i="2"/>
  <c r="G660" i="2" s="1"/>
  <c r="F661" i="2"/>
  <c r="G661" i="2" s="1"/>
  <c r="F662" i="2"/>
  <c r="G662" i="2" s="1"/>
  <c r="F663" i="2"/>
  <c r="G663" i="2" s="1"/>
  <c r="F664" i="2"/>
  <c r="G664" i="2" s="1"/>
  <c r="F665" i="2"/>
  <c r="G665" i="2" s="1"/>
  <c r="F666" i="2"/>
  <c r="G666" i="2" s="1"/>
  <c r="F667" i="2"/>
  <c r="G667" i="2" s="1"/>
  <c r="F668" i="2"/>
  <c r="G668" i="2" s="1"/>
  <c r="F669" i="2"/>
  <c r="G669" i="2" s="1"/>
  <c r="F670" i="2"/>
  <c r="G670" i="2" s="1"/>
  <c r="F671" i="2"/>
  <c r="G671" i="2" s="1"/>
  <c r="F672" i="2"/>
  <c r="G672" i="2" s="1"/>
  <c r="F673" i="2"/>
  <c r="G673" i="2" s="1"/>
  <c r="F674" i="2"/>
  <c r="G674" i="2" s="1"/>
  <c r="F675" i="2"/>
  <c r="G675" i="2" s="1"/>
  <c r="F676" i="2"/>
  <c r="G676" i="2" s="1"/>
  <c r="F677" i="2"/>
  <c r="G677" i="2" s="1"/>
  <c r="F678" i="2"/>
  <c r="G678" i="2" s="1"/>
  <c r="F679" i="2"/>
  <c r="G679" i="2" s="1"/>
  <c r="F680" i="2"/>
  <c r="G680" i="2" s="1"/>
  <c r="F681" i="2"/>
  <c r="G681" i="2" s="1"/>
  <c r="F682" i="2"/>
  <c r="G682" i="2" s="1"/>
  <c r="F683" i="2"/>
  <c r="G683" i="2" s="1"/>
  <c r="F684" i="2"/>
  <c r="G684" i="2" s="1"/>
  <c r="F685" i="2"/>
  <c r="G685" i="2" s="1"/>
  <c r="F686" i="2"/>
  <c r="G686" i="2" s="1"/>
  <c r="F687" i="2"/>
  <c r="G687" i="2" s="1"/>
  <c r="F688" i="2"/>
  <c r="G688" i="2" s="1"/>
  <c r="F689" i="2"/>
  <c r="G689" i="2" s="1"/>
  <c r="F690" i="2"/>
  <c r="G690" i="2" s="1"/>
  <c r="F691" i="2"/>
  <c r="G691" i="2" s="1"/>
  <c r="F692" i="2"/>
  <c r="G692" i="2" s="1"/>
  <c r="F693" i="2"/>
  <c r="G693" i="2" s="1"/>
  <c r="F694" i="2"/>
  <c r="G694" i="2" s="1"/>
  <c r="F695" i="2"/>
  <c r="G695" i="2" s="1"/>
  <c r="F696" i="2"/>
  <c r="G696" i="2" s="1"/>
  <c r="F697" i="2"/>
  <c r="G697" i="2" s="1"/>
  <c r="F698" i="2"/>
  <c r="G698" i="2" s="1"/>
  <c r="F699" i="2"/>
  <c r="G699" i="2" s="1"/>
  <c r="F700" i="2"/>
  <c r="G700" i="2" s="1"/>
  <c r="F701" i="2"/>
  <c r="G701" i="2" s="1"/>
  <c r="F702" i="2"/>
  <c r="G702" i="2" s="1"/>
  <c r="F703" i="2"/>
  <c r="G703" i="2" s="1"/>
  <c r="F704" i="2"/>
  <c r="G704" i="2" s="1"/>
  <c r="F705" i="2"/>
  <c r="G705" i="2" s="1"/>
  <c r="F706" i="2"/>
  <c r="G706" i="2" s="1"/>
  <c r="F707" i="2"/>
  <c r="G707" i="2" s="1"/>
  <c r="F708" i="2"/>
  <c r="G708" i="2" s="1"/>
  <c r="F709" i="2"/>
  <c r="G709" i="2" s="1"/>
  <c r="F710" i="2"/>
  <c r="G710" i="2" s="1"/>
  <c r="F711" i="2"/>
  <c r="G711" i="2" s="1"/>
  <c r="F712" i="2"/>
  <c r="G712" i="2" s="1"/>
  <c r="F713" i="2"/>
  <c r="G713" i="2" s="1"/>
  <c r="F714" i="2"/>
  <c r="G714" i="2" s="1"/>
  <c r="F715" i="2"/>
  <c r="G715" i="2" s="1"/>
  <c r="F716" i="2"/>
  <c r="G716" i="2" s="1"/>
  <c r="F717" i="2"/>
  <c r="G717" i="2" s="1"/>
  <c r="F718" i="2"/>
  <c r="G718" i="2" s="1"/>
  <c r="F719" i="2"/>
  <c r="G719" i="2" s="1"/>
  <c r="F720" i="2"/>
  <c r="G720" i="2" s="1"/>
  <c r="F721" i="2"/>
  <c r="G721" i="2" s="1"/>
  <c r="F722" i="2"/>
  <c r="G722" i="2" s="1"/>
  <c r="F723" i="2"/>
  <c r="G723" i="2" s="1"/>
  <c r="F724" i="2"/>
  <c r="G724" i="2" s="1"/>
  <c r="F725" i="2"/>
  <c r="G725" i="2" s="1"/>
  <c r="F726" i="2"/>
  <c r="G726" i="2" s="1"/>
  <c r="F727" i="2"/>
  <c r="G727" i="2" s="1"/>
  <c r="F8" i="2"/>
  <c r="G8" i="2" s="1"/>
  <c r="G980" i="2" l="1"/>
  <c r="G982" i="2" s="1"/>
  <c r="H6" i="1" l="1"/>
</calcChain>
</file>

<file path=xl/sharedStrings.xml><?xml version="1.0" encoding="utf-8"?>
<sst xmlns="http://schemas.openxmlformats.org/spreadsheetml/2006/main" count="1459" uniqueCount="736">
  <si>
    <t>DATETIME</t>
  </si>
  <si>
    <r>
      <rPr>
        <b/>
        <sz val="14"/>
        <color rgb="FFFF0000"/>
        <rFont val="Calibri"/>
        <family val="2"/>
        <scheme val="minor"/>
      </rPr>
      <t>Add your forecast Here for: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sz val="14"/>
        <color theme="0"/>
        <rFont val="Calibri"/>
        <family val="2"/>
        <scheme val="minor"/>
      </rPr>
      <t>Maximum possible solar generation  (in kWh).</t>
    </r>
  </si>
  <si>
    <t>MAE</t>
  </si>
  <si>
    <t>Underutilization of the
 installation  kWh</t>
  </si>
  <si>
    <t>2024-09-01 00:00:00+02:00</t>
  </si>
  <si>
    <t>2024-09-01 01:00:00+02:00</t>
  </si>
  <si>
    <t>*The results will be displayed once the 720 prediction values are entered.</t>
  </si>
  <si>
    <t>2024-09-01 02:00:00+02:00</t>
  </si>
  <si>
    <t>2024-09-01 03:00:00+02:00</t>
  </si>
  <si>
    <t>2024-09-01 04:00:00+02:00</t>
  </si>
  <si>
    <t>2024-09-01 05:00:00+02:00</t>
  </si>
  <si>
    <t>2024-09-01 06:00:00+02:00</t>
  </si>
  <si>
    <t>2024-09-01 07:00:00+02:00</t>
  </si>
  <si>
    <t>2024-09-01 08:00:00+02:00</t>
  </si>
  <si>
    <t>2024-09-01 09:00:00+02:00</t>
  </si>
  <si>
    <t>2024-09-01 10:00:00+02:00</t>
  </si>
  <si>
    <t>2024-09-01 11:00:00+02:00</t>
  </si>
  <si>
    <t>2024-09-01 12:00:00+02:00</t>
  </si>
  <si>
    <t>2024-09-01 13:00:00+02:00</t>
  </si>
  <si>
    <t>2024-09-01 14:00:00+02:00</t>
  </si>
  <si>
    <t>2024-09-01 15:00:00+02:00</t>
  </si>
  <si>
    <t>2024-09-01 16:00:00+02:00</t>
  </si>
  <si>
    <t>2024-09-01 17:00:00+02:00</t>
  </si>
  <si>
    <t>2024-09-01 18:00:00+02:00</t>
  </si>
  <si>
    <t>2024-09-01 19:00:00+02:00</t>
  </si>
  <si>
    <t>2024-09-01 20:00:00+02:00</t>
  </si>
  <si>
    <t>2024-09-01 21:00:00+02:00</t>
  </si>
  <si>
    <t>2024-09-01 22:00:00+02:00</t>
  </si>
  <si>
    <t>2024-09-01 23:00:00+02:00</t>
  </si>
  <si>
    <t>2024-09-02 00:00:00+02:00</t>
  </si>
  <si>
    <t>2024-09-02 01:00:00+02:00</t>
  </si>
  <si>
    <t>2024-09-02 02:00:00+02:00</t>
  </si>
  <si>
    <t>2024-09-02 03:00:00+02:00</t>
  </si>
  <si>
    <t>2024-09-02 04:00:00+02:00</t>
  </si>
  <si>
    <t>2024-09-02 05:00:00+02:00</t>
  </si>
  <si>
    <t>2024-09-02 06:00:00+02:00</t>
  </si>
  <si>
    <t>2024-09-02 07:00:00+02:00</t>
  </si>
  <si>
    <t>2024-09-02 08:00:00+02:00</t>
  </si>
  <si>
    <t>2024-09-02 09:00:00+02:00</t>
  </si>
  <si>
    <t>2024-09-02 10:00:00+02:00</t>
  </si>
  <si>
    <t>2024-09-02 11:00:00+02:00</t>
  </si>
  <si>
    <t>2024-09-02 12:00:00+02:00</t>
  </si>
  <si>
    <t>2024-09-02 13:00:00+02:00</t>
  </si>
  <si>
    <t>2024-09-02 14:00:00+02:00</t>
  </si>
  <si>
    <t>2024-09-02 15:00:00+02:00</t>
  </si>
  <si>
    <t>2024-09-02 16:00:00+02:00</t>
  </si>
  <si>
    <t>2024-09-02 17:00:00+02:00</t>
  </si>
  <si>
    <t>2024-09-02 18:00:00+02:00</t>
  </si>
  <si>
    <t>2024-09-02 19:00:00+02:00</t>
  </si>
  <si>
    <t>2024-09-02 20:00:00+02:00</t>
  </si>
  <si>
    <t>2024-09-02 21:00:00+02:00</t>
  </si>
  <si>
    <t>2024-09-02 22:00:00+02:00</t>
  </si>
  <si>
    <t>2024-09-02 23:00:00+02:00</t>
  </si>
  <si>
    <t>2024-09-03 00:00:00+02:00</t>
  </si>
  <si>
    <t>2024-09-03 01:00:00+02:00</t>
  </si>
  <si>
    <t>2024-09-03 02:00:00+02:00</t>
  </si>
  <si>
    <t>2024-09-03 03:00:00+02:00</t>
  </si>
  <si>
    <t>2024-09-03 04:00:00+02:00</t>
  </si>
  <si>
    <t>2024-09-03 05:00:00+02:00</t>
  </si>
  <si>
    <t>2024-09-03 06:00:00+02:00</t>
  </si>
  <si>
    <t>2024-09-03 07:00:00+02:00</t>
  </si>
  <si>
    <t>2024-09-03 08:00:00+02:00</t>
  </si>
  <si>
    <t>2024-09-03 09:00:00+02:00</t>
  </si>
  <si>
    <t>2024-09-03 10:00:00+02:00</t>
  </si>
  <si>
    <t>2024-09-03 11:00:00+02:00</t>
  </si>
  <si>
    <t>2024-09-03 12:00:00+02:00</t>
  </si>
  <si>
    <t>2024-09-03 13:00:00+02:00</t>
  </si>
  <si>
    <t>2024-09-03 14:00:00+02:00</t>
  </si>
  <si>
    <t>2024-09-03 15:00:00+02:00</t>
  </si>
  <si>
    <t>2024-09-03 16:00:00+02:00</t>
  </si>
  <si>
    <t>2024-09-03 17:00:00+02:00</t>
  </si>
  <si>
    <t>2024-09-03 18:00:00+02:00</t>
  </si>
  <si>
    <t>2024-09-03 19:00:00+02:00</t>
  </si>
  <si>
    <t>2024-09-03 20:00:00+02:00</t>
  </si>
  <si>
    <t>2024-09-03 21:00:00+02:00</t>
  </si>
  <si>
    <t>2024-09-03 22:00:00+02:00</t>
  </si>
  <si>
    <t>2024-09-03 23:00:00+02:00</t>
  </si>
  <si>
    <t>2024-09-04 00:00:00+02:00</t>
  </si>
  <si>
    <t>2024-09-04 01:00:00+02:00</t>
  </si>
  <si>
    <t>2024-09-04 02:00:00+02:00</t>
  </si>
  <si>
    <t>2024-09-04 03:00:00+02:00</t>
  </si>
  <si>
    <t>2024-09-04 04:00:00+02:00</t>
  </si>
  <si>
    <t>2024-09-04 05:00:00+02:00</t>
  </si>
  <si>
    <t>2024-09-04 06:00:00+02:00</t>
  </si>
  <si>
    <t>2024-09-04 07:00:00+02:00</t>
  </si>
  <si>
    <t>2024-09-04 08:00:00+02:00</t>
  </si>
  <si>
    <t>2024-09-04 09:00:00+02:00</t>
  </si>
  <si>
    <t>2024-09-04 10:00:00+02:00</t>
  </si>
  <si>
    <t>2024-09-04 11:00:00+02:00</t>
  </si>
  <si>
    <t>2024-09-04 12:00:00+02:00</t>
  </si>
  <si>
    <t>2024-09-04 13:00:00+02:00</t>
  </si>
  <si>
    <t>2024-09-04 14:00:00+02:00</t>
  </si>
  <si>
    <t>2024-09-04 15:00:00+02:00</t>
  </si>
  <si>
    <t>2024-09-04 16:00:00+02:00</t>
  </si>
  <si>
    <t>2024-09-04 17:00:00+02:00</t>
  </si>
  <si>
    <t>2024-09-04 18:00:00+02:00</t>
  </si>
  <si>
    <t>2024-09-04 19:00:00+02:00</t>
  </si>
  <si>
    <t>2024-09-04 20:00:00+02:00</t>
  </si>
  <si>
    <t>2024-09-04 21:00:00+02:00</t>
  </si>
  <si>
    <t>2024-09-04 22:00:00+02:00</t>
  </si>
  <si>
    <t>2024-09-04 23:00:00+02:00</t>
  </si>
  <si>
    <t>2024-09-05 00:00:00+02:00</t>
  </si>
  <si>
    <t>2024-09-05 01:00:00+02:00</t>
  </si>
  <si>
    <t>2024-09-05 02:00:00+02:00</t>
  </si>
  <si>
    <t>2024-09-05 03:00:00+02:00</t>
  </si>
  <si>
    <t>2024-09-05 04:00:00+02:00</t>
  </si>
  <si>
    <t>2024-09-05 05:00:00+02:00</t>
  </si>
  <si>
    <t>2024-09-05 06:00:00+02:00</t>
  </si>
  <si>
    <t>2024-09-05 07:00:00+02:00</t>
  </si>
  <si>
    <t>2024-09-05 08:00:00+02:00</t>
  </si>
  <si>
    <t>2024-09-05 09:00:00+02:00</t>
  </si>
  <si>
    <t>2024-09-05 10:00:00+02:00</t>
  </si>
  <si>
    <t>2024-09-05 11:00:00+02:00</t>
  </si>
  <si>
    <t>2024-09-05 12:00:00+02:00</t>
  </si>
  <si>
    <t>2024-09-05 13:00:00+02:00</t>
  </si>
  <si>
    <t>2024-09-05 14:00:00+02:00</t>
  </si>
  <si>
    <t>2024-09-05 15:00:00+02:00</t>
  </si>
  <si>
    <t>2024-09-05 16:00:00+02:00</t>
  </si>
  <si>
    <t>2024-09-05 17:00:00+02:00</t>
  </si>
  <si>
    <t>2024-09-05 18:00:00+02:00</t>
  </si>
  <si>
    <t>2024-09-05 19:00:00+02:00</t>
  </si>
  <si>
    <t>2024-09-05 20:00:00+02:00</t>
  </si>
  <si>
    <t>2024-09-05 21:00:00+02:00</t>
  </si>
  <si>
    <t>2024-09-05 22:00:00+02:00</t>
  </si>
  <si>
    <t>2024-09-05 23:00:00+02:00</t>
  </si>
  <si>
    <t>2024-09-06 00:00:00+02:00</t>
  </si>
  <si>
    <t>2024-09-06 01:00:00+02:00</t>
  </si>
  <si>
    <t>2024-09-06 02:00:00+02:00</t>
  </si>
  <si>
    <t>2024-09-06 03:00:00+02:00</t>
  </si>
  <si>
    <t>2024-09-06 04:00:00+02:00</t>
  </si>
  <si>
    <t>2024-09-06 05:00:00+02:00</t>
  </si>
  <si>
    <t>2024-09-06 06:00:00+02:00</t>
  </si>
  <si>
    <t>2024-09-06 07:00:00+02:00</t>
  </si>
  <si>
    <t>2024-09-06 08:00:00+02:00</t>
  </si>
  <si>
    <t>2024-09-06 09:00:00+02:00</t>
  </si>
  <si>
    <t>2024-09-06 10:00:00+02:00</t>
  </si>
  <si>
    <t>2024-09-06 11:00:00+02:00</t>
  </si>
  <si>
    <t>2024-09-06 12:00:00+02:00</t>
  </si>
  <si>
    <t>2024-09-06 13:00:00+02:00</t>
  </si>
  <si>
    <t>2024-09-06 14:00:00+02:00</t>
  </si>
  <si>
    <t>2024-09-06 15:00:00+02:00</t>
  </si>
  <si>
    <t>2024-09-06 16:00:00+02:00</t>
  </si>
  <si>
    <t>2024-09-06 17:00:00+02:00</t>
  </si>
  <si>
    <t>2024-09-06 18:00:00+02:00</t>
  </si>
  <si>
    <t>2024-09-06 19:00:00+02:00</t>
  </si>
  <si>
    <t>2024-09-06 20:00:00+02:00</t>
  </si>
  <si>
    <t>2024-09-06 21:00:00+02:00</t>
  </si>
  <si>
    <t>2024-09-06 22:00:00+02:00</t>
  </si>
  <si>
    <t>2024-09-06 23:00:00+02:00</t>
  </si>
  <si>
    <t>2024-09-07 00:00:00+02:00</t>
  </si>
  <si>
    <t>2024-09-07 01:00:00+02:00</t>
  </si>
  <si>
    <t>2024-09-07 02:00:00+02:00</t>
  </si>
  <si>
    <t>2024-09-07 03:00:00+02:00</t>
  </si>
  <si>
    <t>2024-09-07 04:00:00+02:00</t>
  </si>
  <si>
    <t>2024-09-07 05:00:00+02:00</t>
  </si>
  <si>
    <t>2024-09-07 06:00:00+02:00</t>
  </si>
  <si>
    <t>2024-09-07 07:00:00+02:00</t>
  </si>
  <si>
    <t>2024-09-07 08:00:00+02:00</t>
  </si>
  <si>
    <t>2024-09-07 09:00:00+02:00</t>
  </si>
  <si>
    <t>2024-09-07 10:00:00+02:00</t>
  </si>
  <si>
    <t>2024-09-07 11:00:00+02:00</t>
  </si>
  <si>
    <t>2024-09-07 12:00:00+02:00</t>
  </si>
  <si>
    <t>2024-09-07 13:00:00+02:00</t>
  </si>
  <si>
    <t>2024-09-07 14:00:00+02:00</t>
  </si>
  <si>
    <t>2024-09-07 15:00:00+02:00</t>
  </si>
  <si>
    <t>2024-09-07 16:00:00+02:00</t>
  </si>
  <si>
    <t>2024-09-07 17:00:00+02:00</t>
  </si>
  <si>
    <t>2024-09-07 18:00:00+02:00</t>
  </si>
  <si>
    <t>2024-09-07 19:00:00+02:00</t>
  </si>
  <si>
    <t>2024-09-07 20:00:00+02:00</t>
  </si>
  <si>
    <t>2024-09-07 21:00:00+02:00</t>
  </si>
  <si>
    <t>2024-09-07 22:00:00+02:00</t>
  </si>
  <si>
    <t>2024-09-07 23:00:00+02:00</t>
  </si>
  <si>
    <t>2024-09-08 00:00:00+02:00</t>
  </si>
  <si>
    <t>2024-09-08 01:00:00+02:00</t>
  </si>
  <si>
    <t>2024-09-08 02:00:00+02:00</t>
  </si>
  <si>
    <t>2024-09-08 03:00:00+02:00</t>
  </si>
  <si>
    <t>2024-09-08 04:00:00+02:00</t>
  </si>
  <si>
    <t>2024-09-08 05:00:00+02:00</t>
  </si>
  <si>
    <t>2024-09-08 06:00:00+02:00</t>
  </si>
  <si>
    <t>2024-09-08 07:00:00+02:00</t>
  </si>
  <si>
    <t>2024-09-08 08:00:00+02:00</t>
  </si>
  <si>
    <t>2024-09-08 09:00:00+02:00</t>
  </si>
  <si>
    <t>2024-09-08 10:00:00+02:00</t>
  </si>
  <si>
    <t>2024-09-08 11:00:00+02:00</t>
  </si>
  <si>
    <t>2024-09-08 12:00:00+02:00</t>
  </si>
  <si>
    <t>2024-09-08 13:00:00+02:00</t>
  </si>
  <si>
    <t>2024-09-08 14:00:00+02:00</t>
  </si>
  <si>
    <t>2024-09-08 15:00:00+02:00</t>
  </si>
  <si>
    <t>2024-09-08 16:00:00+02:00</t>
  </si>
  <si>
    <t>2024-09-08 17:00:00+02:00</t>
  </si>
  <si>
    <t>2024-09-08 18:00:00+02:00</t>
  </si>
  <si>
    <t>2024-09-08 19:00:00+02:00</t>
  </si>
  <si>
    <t>2024-09-08 20:00:00+02:00</t>
  </si>
  <si>
    <t>2024-09-08 21:00:00+02:00</t>
  </si>
  <si>
    <t>2024-09-08 22:00:00+02:00</t>
  </si>
  <si>
    <t>2024-09-08 23:00:00+02:00</t>
  </si>
  <si>
    <t>2024-09-09 00:00:00+02:00</t>
  </si>
  <si>
    <t>2024-09-09 01:00:00+02:00</t>
  </si>
  <si>
    <t>2024-09-09 02:00:00+02:00</t>
  </si>
  <si>
    <t>2024-09-09 03:00:00+02:00</t>
  </si>
  <si>
    <t>2024-09-09 04:00:00+02:00</t>
  </si>
  <si>
    <t>2024-09-09 05:00:00+02:00</t>
  </si>
  <si>
    <t>2024-09-09 06:00:00+02:00</t>
  </si>
  <si>
    <t>2024-09-09 07:00:00+02:00</t>
  </si>
  <si>
    <t>2024-09-09 08:00:00+02:00</t>
  </si>
  <si>
    <t>2024-09-09 09:00:00+02:00</t>
  </si>
  <si>
    <t>2024-09-09 10:00:00+02:00</t>
  </si>
  <si>
    <t>2024-09-09 11:00:00+02:00</t>
  </si>
  <si>
    <t>2024-09-09 12:00:00+02:00</t>
  </si>
  <si>
    <t>2024-09-09 13:00:00+02:00</t>
  </si>
  <si>
    <t>2024-09-09 14:00:00+02:00</t>
  </si>
  <si>
    <t>2024-09-09 15:00:00+02:00</t>
  </si>
  <si>
    <t>2024-09-09 16:00:00+02:00</t>
  </si>
  <si>
    <t>2024-09-09 17:00:00+02:00</t>
  </si>
  <si>
    <t>2024-09-09 18:00:00+02:00</t>
  </si>
  <si>
    <t>2024-09-09 19:00:00+02:00</t>
  </si>
  <si>
    <t>2024-09-09 20:00:00+02:00</t>
  </si>
  <si>
    <t>2024-09-09 21:00:00+02:00</t>
  </si>
  <si>
    <t>2024-09-09 22:00:00+02:00</t>
  </si>
  <si>
    <t>2024-09-09 23:00:00+02:00</t>
  </si>
  <si>
    <t>2024-09-10 00:00:00+02:00</t>
  </si>
  <si>
    <t>2024-09-10 01:00:00+02:00</t>
  </si>
  <si>
    <t>2024-09-10 02:00:00+02:00</t>
  </si>
  <si>
    <t>2024-09-10 03:00:00+02:00</t>
  </si>
  <si>
    <t>2024-09-10 04:00:00+02:00</t>
  </si>
  <si>
    <t>2024-09-10 05:00:00+02:00</t>
  </si>
  <si>
    <t>2024-09-10 06:00:00+02:00</t>
  </si>
  <si>
    <t>2024-09-10 07:00:00+02:00</t>
  </si>
  <si>
    <t>2024-09-10 08:00:00+02:00</t>
  </si>
  <si>
    <t>2024-09-10 09:00:00+02:00</t>
  </si>
  <si>
    <t>2024-09-10 10:00:00+02:00</t>
  </si>
  <si>
    <t>2024-09-10 11:00:00+02:00</t>
  </si>
  <si>
    <t>2024-09-10 12:00:00+02:00</t>
  </si>
  <si>
    <t>2024-09-10 13:00:00+02:00</t>
  </si>
  <si>
    <t>2024-09-10 14:00:00+02:00</t>
  </si>
  <si>
    <t>2024-09-10 15:00:00+02:00</t>
  </si>
  <si>
    <t>2024-09-10 16:00:00+02:00</t>
  </si>
  <si>
    <t>2024-09-10 17:00:00+02:00</t>
  </si>
  <si>
    <t>2024-09-10 18:00:00+02:00</t>
  </si>
  <si>
    <t>2024-09-10 19:00:00+02:00</t>
  </si>
  <si>
    <t>2024-09-10 20:00:00+02:00</t>
  </si>
  <si>
    <t>2024-09-10 21:00:00+02:00</t>
  </si>
  <si>
    <t>2024-09-10 22:00:00+02:00</t>
  </si>
  <si>
    <t>2024-09-10 23:00:00+02:00</t>
  </si>
  <si>
    <t>2024-09-11 00:00:00+02:00</t>
  </si>
  <si>
    <t>2024-09-11 01:00:00+02:00</t>
  </si>
  <si>
    <t>2024-09-11 02:00:00+02:00</t>
  </si>
  <si>
    <t>2024-09-11 03:00:00+02:00</t>
  </si>
  <si>
    <t>2024-09-11 04:00:00+02:00</t>
  </si>
  <si>
    <t>2024-09-11 05:00:00+02:00</t>
  </si>
  <si>
    <t>2024-09-11 06:00:00+02:00</t>
  </si>
  <si>
    <t>2024-09-11 07:00:00+02:00</t>
  </si>
  <si>
    <t>2024-09-11 08:00:00+02:00</t>
  </si>
  <si>
    <t>2024-09-11 09:00:00+02:00</t>
  </si>
  <si>
    <t>2024-09-11 10:00:00+02:00</t>
  </si>
  <si>
    <t>2024-09-11 11:00:00+02:00</t>
  </si>
  <si>
    <t>2024-09-11 12:00:00+02:00</t>
  </si>
  <si>
    <t>2024-09-11 13:00:00+02:00</t>
  </si>
  <si>
    <t>2024-09-11 14:00:00+02:00</t>
  </si>
  <si>
    <t>2024-09-11 15:00:00+02:00</t>
  </si>
  <si>
    <t>2024-09-11 16:00:00+02:00</t>
  </si>
  <si>
    <t>2024-09-11 17:00:00+02:00</t>
  </si>
  <si>
    <t>2024-09-11 18:00:00+02:00</t>
  </si>
  <si>
    <t>2024-09-11 19:00:00+02:00</t>
  </si>
  <si>
    <t>2024-09-11 20:00:00+02:00</t>
  </si>
  <si>
    <t>2024-09-11 21:00:00+02:00</t>
  </si>
  <si>
    <t>2024-09-11 22:00:00+02:00</t>
  </si>
  <si>
    <t>2024-09-11 23:00:00+02:00</t>
  </si>
  <si>
    <t>2024-09-12 00:00:00+02:00</t>
  </si>
  <si>
    <t>2024-09-12 01:00:00+02:00</t>
  </si>
  <si>
    <t>2024-09-12 02:00:00+02:00</t>
  </si>
  <si>
    <t>2024-09-12 03:00:00+02:00</t>
  </si>
  <si>
    <t>2024-09-12 04:00:00+02:00</t>
  </si>
  <si>
    <t>2024-09-12 05:00:00+02:00</t>
  </si>
  <si>
    <t>2024-09-12 06:00:00+02:00</t>
  </si>
  <si>
    <t>2024-09-12 07:00:00+02:00</t>
  </si>
  <si>
    <t>2024-09-12 08:00:00+02:00</t>
  </si>
  <si>
    <t>2024-09-12 09:00:00+02:00</t>
  </si>
  <si>
    <t>2024-09-12 10:00:00+02:00</t>
  </si>
  <si>
    <t>2024-09-12 11:00:00+02:00</t>
  </si>
  <si>
    <t>2024-09-12 12:00:00+02:00</t>
  </si>
  <si>
    <t>2024-09-12 13:00:00+02:00</t>
  </si>
  <si>
    <t>2024-09-12 14:00:00+02:00</t>
  </si>
  <si>
    <t>2024-09-12 15:00:00+02:00</t>
  </si>
  <si>
    <t>2024-09-12 16:00:00+02:00</t>
  </si>
  <si>
    <t>2024-09-12 17:00:00+02:00</t>
  </si>
  <si>
    <t>2024-09-12 18:00:00+02:00</t>
  </si>
  <si>
    <t>2024-09-12 19:00:00+02:00</t>
  </si>
  <si>
    <t>2024-09-12 20:00:00+02:00</t>
  </si>
  <si>
    <t>2024-09-12 21:00:00+02:00</t>
  </si>
  <si>
    <t>2024-09-12 22:00:00+02:00</t>
  </si>
  <si>
    <t>2024-09-12 23:00:00+02:00</t>
  </si>
  <si>
    <t>2024-09-13 00:00:00+02:00</t>
  </si>
  <si>
    <t>2024-09-13 01:00:00+02:00</t>
  </si>
  <si>
    <t>2024-09-13 02:00:00+02:00</t>
  </si>
  <si>
    <t>2024-09-13 03:00:00+02:00</t>
  </si>
  <si>
    <t>2024-09-13 04:00:00+02:00</t>
  </si>
  <si>
    <t>2024-09-13 05:00:00+02:00</t>
  </si>
  <si>
    <t>2024-09-13 06:00:00+02:00</t>
  </si>
  <si>
    <t>2024-09-13 07:00:00+02:00</t>
  </si>
  <si>
    <t>2024-09-13 08:00:00+02:00</t>
  </si>
  <si>
    <t>2024-09-13 09:00:00+02:00</t>
  </si>
  <si>
    <t>2024-09-13 10:00:00+02:00</t>
  </si>
  <si>
    <t>2024-09-13 11:00:00+02:00</t>
  </si>
  <si>
    <t>2024-09-13 12:00:00+02:00</t>
  </si>
  <si>
    <t>2024-09-13 13:00:00+02:00</t>
  </si>
  <si>
    <t>2024-09-13 14:00:00+02:00</t>
  </si>
  <si>
    <t>2024-09-13 15:00:00+02:00</t>
  </si>
  <si>
    <t>2024-09-13 16:00:00+02:00</t>
  </si>
  <si>
    <t>2024-09-13 17:00:00+02:00</t>
  </si>
  <si>
    <t>2024-09-13 18:00:00+02:00</t>
  </si>
  <si>
    <t>2024-09-13 19:00:00+02:00</t>
  </si>
  <si>
    <t>2024-09-13 20:00:00+02:00</t>
  </si>
  <si>
    <t>2024-09-13 21:00:00+02:00</t>
  </si>
  <si>
    <t>2024-09-13 22:00:00+02:00</t>
  </si>
  <si>
    <t>2024-09-13 23:00:00+02:00</t>
  </si>
  <si>
    <t>2024-09-14 00:00:00+02:00</t>
  </si>
  <si>
    <t>2024-09-14 01:00:00+02:00</t>
  </si>
  <si>
    <t>2024-09-14 02:00:00+02:00</t>
  </si>
  <si>
    <t>2024-09-14 03:00:00+02:00</t>
  </si>
  <si>
    <t>2024-09-14 04:00:00+02:00</t>
  </si>
  <si>
    <t>2024-09-14 05:00:00+02:00</t>
  </si>
  <si>
    <t>2024-09-14 06:00:00+02:00</t>
  </si>
  <si>
    <t>2024-09-14 07:00:00+02:00</t>
  </si>
  <si>
    <t>2024-09-14 08:00:00+02:00</t>
  </si>
  <si>
    <t>2024-09-14 09:00:00+02:00</t>
  </si>
  <si>
    <t>2024-09-14 10:00:00+02:00</t>
  </si>
  <si>
    <t>2024-09-14 11:00:00+02:00</t>
  </si>
  <si>
    <t>2024-09-14 12:00:00+02:00</t>
  </si>
  <si>
    <t>2024-09-14 13:00:00+02:00</t>
  </si>
  <si>
    <t>2024-09-14 14:00:00+02:00</t>
  </si>
  <si>
    <t>2024-09-14 15:00:00+02:00</t>
  </si>
  <si>
    <t>2024-09-14 16:00:00+02:00</t>
  </si>
  <si>
    <t>2024-09-14 17:00:00+02:00</t>
  </si>
  <si>
    <t>2024-09-14 18:00:00+02:00</t>
  </si>
  <si>
    <t>2024-09-14 19:00:00+02:00</t>
  </si>
  <si>
    <t>2024-09-14 20:00:00+02:00</t>
  </si>
  <si>
    <t>2024-09-14 21:00:00+02:00</t>
  </si>
  <si>
    <t>2024-09-14 22:00:00+02:00</t>
  </si>
  <si>
    <t>2024-09-14 23:00:00+02:00</t>
  </si>
  <si>
    <t>2024-09-15 00:00:00+02:00</t>
  </si>
  <si>
    <t>2024-09-15 01:00:00+02:00</t>
  </si>
  <si>
    <t>2024-09-15 02:00:00+02:00</t>
  </si>
  <si>
    <t>2024-09-15 03:00:00+02:00</t>
  </si>
  <si>
    <t>2024-09-15 04:00:00+02:00</t>
  </si>
  <si>
    <t>2024-09-15 05:00:00+02:00</t>
  </si>
  <si>
    <t>2024-09-15 06:00:00+02:00</t>
  </si>
  <si>
    <t>2024-09-15 07:00:00+02:00</t>
  </si>
  <si>
    <t>2024-09-15 08:00:00+02:00</t>
  </si>
  <si>
    <t>2024-09-15 09:00:00+02:00</t>
  </si>
  <si>
    <t>2024-09-15 10:00:00+02:00</t>
  </si>
  <si>
    <t>2024-09-15 11:00:00+02:00</t>
  </si>
  <si>
    <t>2024-09-15 12:00:00+02:00</t>
  </si>
  <si>
    <t>2024-09-15 13:00:00+02:00</t>
  </si>
  <si>
    <t>2024-09-15 14:00:00+02:00</t>
  </si>
  <si>
    <t>2024-09-15 15:00:00+02:00</t>
  </si>
  <si>
    <t>2024-09-15 16:00:00+02:00</t>
  </si>
  <si>
    <t>2024-09-15 17:00:00+02:00</t>
  </si>
  <si>
    <t>2024-09-15 18:00:00+02:00</t>
  </si>
  <si>
    <t>2024-09-15 19:00:00+02:00</t>
  </si>
  <si>
    <t>2024-09-15 20:00:00+02:00</t>
  </si>
  <si>
    <t>2024-09-15 21:00:00+02:00</t>
  </si>
  <si>
    <t>2024-09-15 22:00:00+02:00</t>
  </si>
  <si>
    <t>2024-09-15 23:00:00+02:00</t>
  </si>
  <si>
    <t>2024-09-16 00:00:00+02:00</t>
  </si>
  <si>
    <t>2024-09-16 01:00:00+02:00</t>
  </si>
  <si>
    <t>2024-09-16 02:00:00+02:00</t>
  </si>
  <si>
    <t>2024-09-16 03:00:00+02:00</t>
  </si>
  <si>
    <t>2024-09-16 04:00:00+02:00</t>
  </si>
  <si>
    <t>2024-09-16 05:00:00+02:00</t>
  </si>
  <si>
    <t>2024-09-16 06:00:00+02:00</t>
  </si>
  <si>
    <t>2024-09-16 07:00:00+02:00</t>
  </si>
  <si>
    <t>2024-09-16 08:00:00+02:00</t>
  </si>
  <si>
    <t>2024-09-16 09:00:00+02:00</t>
  </si>
  <si>
    <t>2024-09-16 10:00:00+02:00</t>
  </si>
  <si>
    <t>2024-09-16 11:00:00+02:00</t>
  </si>
  <si>
    <t>2024-09-16 12:00:00+02:00</t>
  </si>
  <si>
    <t>2024-09-16 13:00:00+02:00</t>
  </si>
  <si>
    <t>2024-09-16 14:00:00+02:00</t>
  </si>
  <si>
    <t>2024-09-16 15:00:00+02:00</t>
  </si>
  <si>
    <t>2024-09-16 16:00:00+02:00</t>
  </si>
  <si>
    <t>2024-09-16 17:00:00+02:00</t>
  </si>
  <si>
    <t>2024-09-16 18:00:00+02:00</t>
  </si>
  <si>
    <t>2024-09-16 19:00:00+02:00</t>
  </si>
  <si>
    <t>2024-09-16 20:00:00+02:00</t>
  </si>
  <si>
    <t>2024-09-16 21:00:00+02:00</t>
  </si>
  <si>
    <t>2024-09-16 22:00:00+02:00</t>
  </si>
  <si>
    <t>2024-09-16 23:00:00+02:00</t>
  </si>
  <si>
    <t>2024-09-17 00:00:00+02:00</t>
  </si>
  <si>
    <t>2024-09-17 01:00:00+02:00</t>
  </si>
  <si>
    <t>2024-09-17 02:00:00+02:00</t>
  </si>
  <si>
    <t>2024-09-17 03:00:00+02:00</t>
  </si>
  <si>
    <t>2024-09-17 04:00:00+02:00</t>
  </si>
  <si>
    <t>2024-09-17 05:00:00+02:00</t>
  </si>
  <si>
    <t>2024-09-17 06:00:00+02:00</t>
  </si>
  <si>
    <t>2024-09-17 07:00:00+02:00</t>
  </si>
  <si>
    <t>2024-09-17 08:00:00+02:00</t>
  </si>
  <si>
    <t>2024-09-17 09:00:00+02:00</t>
  </si>
  <si>
    <t>2024-09-17 10:00:00+02:00</t>
  </si>
  <si>
    <t>2024-09-17 11:00:00+02:00</t>
  </si>
  <si>
    <t>2024-09-17 12:00:00+02:00</t>
  </si>
  <si>
    <t>2024-09-17 13:00:00+02:00</t>
  </si>
  <si>
    <t>2024-09-17 14:00:00+02:00</t>
  </si>
  <si>
    <t>2024-09-17 15:00:00+02:00</t>
  </si>
  <si>
    <t>2024-09-17 16:00:00+02:00</t>
  </si>
  <si>
    <t>2024-09-17 17:00:00+02:00</t>
  </si>
  <si>
    <t>2024-09-17 18:00:00+02:00</t>
  </si>
  <si>
    <t>2024-09-17 19:00:00+02:00</t>
  </si>
  <si>
    <t>2024-09-17 20:00:00+02:00</t>
  </si>
  <si>
    <t>2024-09-17 21:00:00+02:00</t>
  </si>
  <si>
    <t>2024-09-17 22:00:00+02:00</t>
  </si>
  <si>
    <t>2024-09-17 23:00:00+02:00</t>
  </si>
  <si>
    <t>2024-09-18 00:00:00+02:00</t>
  </si>
  <si>
    <t>2024-09-18 01:00:00+02:00</t>
  </si>
  <si>
    <t>2024-09-18 02:00:00+02:00</t>
  </si>
  <si>
    <t>2024-09-18 03:00:00+02:00</t>
  </si>
  <si>
    <t>2024-09-18 04:00:00+02:00</t>
  </si>
  <si>
    <t>2024-09-18 05:00:00+02:00</t>
  </si>
  <si>
    <t>2024-09-18 06:00:00+02:00</t>
  </si>
  <si>
    <t>2024-09-18 07:00:00+02:00</t>
  </si>
  <si>
    <t>2024-09-18 08:00:00+02:00</t>
  </si>
  <si>
    <t>2024-09-18 09:00:00+02:00</t>
  </si>
  <si>
    <t>2024-09-18 10:00:00+02:00</t>
  </si>
  <si>
    <t>2024-09-18 11:00:00+02:00</t>
  </si>
  <si>
    <t>2024-09-18 12:00:00+02:00</t>
  </si>
  <si>
    <t>2024-09-18 13:00:00+02:00</t>
  </si>
  <si>
    <t>2024-09-18 14:00:00+02:00</t>
  </si>
  <si>
    <t>2024-09-18 15:00:00+02:00</t>
  </si>
  <si>
    <t>2024-09-18 16:00:00+02:00</t>
  </si>
  <si>
    <t>2024-09-18 17:00:00+02:00</t>
  </si>
  <si>
    <t>2024-09-18 18:00:00+02:00</t>
  </si>
  <si>
    <t>2024-09-18 19:00:00+02:00</t>
  </si>
  <si>
    <t>2024-09-18 20:00:00+02:00</t>
  </si>
  <si>
    <t>2024-09-18 21:00:00+02:00</t>
  </si>
  <si>
    <t>2024-09-18 22:00:00+02:00</t>
  </si>
  <si>
    <t>2024-09-18 23:00:00+02:00</t>
  </si>
  <si>
    <t>2024-09-19 00:00:00+02:00</t>
  </si>
  <si>
    <t>2024-09-19 01:00:00+02:00</t>
  </si>
  <si>
    <t>2024-09-19 02:00:00+02:00</t>
  </si>
  <si>
    <t>2024-09-19 03:00:00+02:00</t>
  </si>
  <si>
    <t>2024-09-19 04:00:00+02:00</t>
  </si>
  <si>
    <t>2024-09-19 05:00:00+02:00</t>
  </si>
  <si>
    <t>2024-09-19 06:00:00+02:00</t>
  </si>
  <si>
    <t>2024-09-19 07:00:00+02:00</t>
  </si>
  <si>
    <t>2024-09-19 08:00:00+02:00</t>
  </si>
  <si>
    <t>2024-09-19 09:00:00+02:00</t>
  </si>
  <si>
    <t>2024-09-19 10:00:00+02:00</t>
  </si>
  <si>
    <t>2024-09-19 11:00:00+02:00</t>
  </si>
  <si>
    <t>2024-09-19 12:00:00+02:00</t>
  </si>
  <si>
    <t>2024-09-19 13:00:00+02:00</t>
  </si>
  <si>
    <t>2024-09-19 14:00:00+02:00</t>
  </si>
  <si>
    <t>2024-09-19 15:00:00+02:00</t>
  </si>
  <si>
    <t>2024-09-19 16:00:00+02:00</t>
  </si>
  <si>
    <t>2024-09-19 17:00:00+02:00</t>
  </si>
  <si>
    <t>2024-09-19 18:00:00+02:00</t>
  </si>
  <si>
    <t>2024-09-19 19:00:00+02:00</t>
  </si>
  <si>
    <t>2024-09-19 20:00:00+02:00</t>
  </si>
  <si>
    <t>2024-09-19 21:00:00+02:00</t>
  </si>
  <si>
    <t>2024-09-19 22:00:00+02:00</t>
  </si>
  <si>
    <t>2024-09-19 23:00:00+02:00</t>
  </si>
  <si>
    <t>2024-09-20 00:00:00+02:00</t>
  </si>
  <si>
    <t>2024-09-20 01:00:00+02:00</t>
  </si>
  <si>
    <t>2024-09-20 02:00:00+02:00</t>
  </si>
  <si>
    <t>2024-09-20 03:00:00+02:00</t>
  </si>
  <si>
    <t>2024-09-20 04:00:00+02:00</t>
  </si>
  <si>
    <t>2024-09-20 05:00:00+02:00</t>
  </si>
  <si>
    <t>2024-09-20 06:00:00+02:00</t>
  </si>
  <si>
    <t>2024-09-20 07:00:00+02:00</t>
  </si>
  <si>
    <t>2024-09-20 08:00:00+02:00</t>
  </si>
  <si>
    <t>2024-09-20 09:00:00+02:00</t>
  </si>
  <si>
    <t>2024-09-20 10:00:00+02:00</t>
  </si>
  <si>
    <t>2024-09-20 11:00:00+02:00</t>
  </si>
  <si>
    <t>2024-09-20 12:00:00+02:00</t>
  </si>
  <si>
    <t>2024-09-20 13:00:00+02:00</t>
  </si>
  <si>
    <t>2024-09-20 14:00:00+02:00</t>
  </si>
  <si>
    <t>2024-09-20 15:00:00+02:00</t>
  </si>
  <si>
    <t>2024-09-20 16:00:00+02:00</t>
  </si>
  <si>
    <t>2024-09-20 17:00:00+02:00</t>
  </si>
  <si>
    <t>2024-09-20 18:00:00+02:00</t>
  </si>
  <si>
    <t>2024-09-20 19:00:00+02:00</t>
  </si>
  <si>
    <t>2024-09-20 20:00:00+02:00</t>
  </si>
  <si>
    <t>2024-09-20 21:00:00+02:00</t>
  </si>
  <si>
    <t>2024-09-20 22:00:00+02:00</t>
  </si>
  <si>
    <t>2024-09-20 23:00:00+02:00</t>
  </si>
  <si>
    <t>2024-09-21 00:00:00+02:00</t>
  </si>
  <si>
    <t>2024-09-21 01:00:00+02:00</t>
  </si>
  <si>
    <t>2024-09-21 02:00:00+02:00</t>
  </si>
  <si>
    <t>2024-09-21 03:00:00+02:00</t>
  </si>
  <si>
    <t>2024-09-21 04:00:00+02:00</t>
  </si>
  <si>
    <t>2024-09-21 05:00:00+02:00</t>
  </si>
  <si>
    <t>2024-09-21 06:00:00+02:00</t>
  </si>
  <si>
    <t>2024-09-21 07:00:00+02:00</t>
  </si>
  <si>
    <t>2024-09-21 08:00:00+02:00</t>
  </si>
  <si>
    <t>2024-09-21 09:00:00+02:00</t>
  </si>
  <si>
    <t>2024-09-21 10:00:00+02:00</t>
  </si>
  <si>
    <t>2024-09-21 11:00:00+02:00</t>
  </si>
  <si>
    <t>2024-09-21 12:00:00+02:00</t>
  </si>
  <si>
    <t>2024-09-21 13:00:00+02:00</t>
  </si>
  <si>
    <t>2024-09-21 14:00:00+02:00</t>
  </si>
  <si>
    <t>2024-09-21 15:00:00+02:00</t>
  </si>
  <si>
    <t>2024-09-21 16:00:00+02:00</t>
  </si>
  <si>
    <t>2024-09-21 17:00:00+02:00</t>
  </si>
  <si>
    <t>2024-09-21 18:00:00+02:00</t>
  </si>
  <si>
    <t>2024-09-21 19:00:00+02:00</t>
  </si>
  <si>
    <t>2024-09-21 20:00:00+02:00</t>
  </si>
  <si>
    <t>2024-09-21 21:00:00+02:00</t>
  </si>
  <si>
    <t>2024-09-21 22:00:00+02:00</t>
  </si>
  <si>
    <t>2024-09-21 23:00:00+02:00</t>
  </si>
  <si>
    <t>2024-09-22 00:00:00+02:00</t>
  </si>
  <si>
    <t>2024-09-22 01:00:00+02:00</t>
  </si>
  <si>
    <t>2024-09-22 02:00:00+02:00</t>
  </si>
  <si>
    <t>2024-09-22 03:00:00+02:00</t>
  </si>
  <si>
    <t>2024-09-22 04:00:00+02:00</t>
  </si>
  <si>
    <t>2024-09-22 05:00:00+02:00</t>
  </si>
  <si>
    <t>2024-09-22 06:00:00+02:00</t>
  </si>
  <si>
    <t>2024-09-22 07:00:00+02:00</t>
  </si>
  <si>
    <t>2024-09-22 08:00:00+02:00</t>
  </si>
  <si>
    <t>2024-09-22 09:00:00+02:00</t>
  </si>
  <si>
    <t>2024-09-22 10:00:00+02:00</t>
  </si>
  <si>
    <t>2024-09-22 11:00:00+02:00</t>
  </si>
  <si>
    <t>2024-09-22 12:00:00+02:00</t>
  </si>
  <si>
    <t>2024-09-22 13:00:00+02:00</t>
  </si>
  <si>
    <t>2024-09-22 14:00:00+02:00</t>
  </si>
  <si>
    <t>2024-09-22 15:00:00+02:00</t>
  </si>
  <si>
    <t>2024-09-22 16:00:00+02:00</t>
  </si>
  <si>
    <t>2024-09-22 17:00:00+02:00</t>
  </si>
  <si>
    <t>2024-09-22 18:00:00+02:00</t>
  </si>
  <si>
    <t>2024-09-22 19:00:00+02:00</t>
  </si>
  <si>
    <t>2024-09-22 20:00:00+02:00</t>
  </si>
  <si>
    <t>2024-09-22 21:00:00+02:00</t>
  </si>
  <si>
    <t>2024-09-22 22:00:00+02:00</t>
  </si>
  <si>
    <t>2024-09-22 23:00:00+02:00</t>
  </si>
  <si>
    <t>2024-09-23 00:00:00+02:00</t>
  </si>
  <si>
    <t>2024-09-23 01:00:00+02:00</t>
  </si>
  <si>
    <t>2024-09-23 02:00:00+02:00</t>
  </si>
  <si>
    <t>2024-09-23 03:00:00+02:00</t>
  </si>
  <si>
    <t>2024-09-23 04:00:00+02:00</t>
  </si>
  <si>
    <t>2024-09-23 05:00:00+02:00</t>
  </si>
  <si>
    <t>2024-09-23 06:00:00+02:00</t>
  </si>
  <si>
    <t>2024-09-23 07:00:00+02:00</t>
  </si>
  <si>
    <t>2024-09-23 08:00:00+02:00</t>
  </si>
  <si>
    <t>2024-09-23 09:00:00+02:00</t>
  </si>
  <si>
    <t>2024-09-23 10:00:00+02:00</t>
  </si>
  <si>
    <t>2024-09-23 11:00:00+02:00</t>
  </si>
  <si>
    <t>2024-09-23 12:00:00+02:00</t>
  </si>
  <si>
    <t>2024-09-23 13:00:00+02:00</t>
  </si>
  <si>
    <t>2024-09-23 14:00:00+02:00</t>
  </si>
  <si>
    <t>2024-09-23 15:00:00+02:00</t>
  </si>
  <si>
    <t>2024-09-23 16:00:00+02:00</t>
  </si>
  <si>
    <t>2024-09-23 17:00:00+02:00</t>
  </si>
  <si>
    <t>2024-09-23 18:00:00+02:00</t>
  </si>
  <si>
    <t>2024-09-23 19:00:00+02:00</t>
  </si>
  <si>
    <t>2024-09-23 20:00:00+02:00</t>
  </si>
  <si>
    <t>2024-09-23 21:00:00+02:00</t>
  </si>
  <si>
    <t>2024-09-23 22:00:00+02:00</t>
  </si>
  <si>
    <t>2024-09-23 23:00:00+02:00</t>
  </si>
  <si>
    <t>2024-09-24 00:00:00+02:00</t>
  </si>
  <si>
    <t>2024-09-24 01:00:00+02:00</t>
  </si>
  <si>
    <t>2024-09-24 02:00:00+02:00</t>
  </si>
  <si>
    <t>2024-09-24 03:00:00+02:00</t>
  </si>
  <si>
    <t>2024-09-24 04:00:00+02:00</t>
  </si>
  <si>
    <t>2024-09-24 05:00:00+02:00</t>
  </si>
  <si>
    <t>2024-09-24 06:00:00+02:00</t>
  </si>
  <si>
    <t>2024-09-24 07:00:00+02:00</t>
  </si>
  <si>
    <t>2024-09-24 08:00:00+02:00</t>
  </si>
  <si>
    <t>2024-09-24 09:00:00+02:00</t>
  </si>
  <si>
    <t>2024-09-24 10:00:00+02:00</t>
  </si>
  <si>
    <t>2024-09-24 11:00:00+02:00</t>
  </si>
  <si>
    <t>2024-09-24 12:00:00+02:00</t>
  </si>
  <si>
    <t>2024-09-24 13:00:00+02:00</t>
  </si>
  <si>
    <t>2024-09-24 14:00:00+02:00</t>
  </si>
  <si>
    <t>2024-09-24 15:00:00+02:00</t>
  </si>
  <si>
    <t>2024-09-24 16:00:00+02:00</t>
  </si>
  <si>
    <t>2024-09-24 17:00:00+02:00</t>
  </si>
  <si>
    <t>2024-09-24 18:00:00+02:00</t>
  </si>
  <si>
    <t>2024-09-24 19:00:00+02:00</t>
  </si>
  <si>
    <t>2024-09-24 20:00:00+02:00</t>
  </si>
  <si>
    <t>2024-09-24 21:00:00+02:00</t>
  </si>
  <si>
    <t>2024-09-24 22:00:00+02:00</t>
  </si>
  <si>
    <t>2024-09-24 23:00:00+02:00</t>
  </si>
  <si>
    <t>2024-09-25 00:00:00+02:00</t>
  </si>
  <si>
    <t>2024-09-25 01:00:00+02:00</t>
  </si>
  <si>
    <t>2024-09-25 02:00:00+02:00</t>
  </si>
  <si>
    <t>2024-09-25 03:00:00+02:00</t>
  </si>
  <si>
    <t>2024-09-25 04:00:00+02:00</t>
  </si>
  <si>
    <t>2024-09-25 05:00:00+02:00</t>
  </si>
  <si>
    <t>2024-09-25 06:00:00+02:00</t>
  </si>
  <si>
    <t>2024-09-25 07:00:00+02:00</t>
  </si>
  <si>
    <t>2024-09-25 08:00:00+02:00</t>
  </si>
  <si>
    <t>2024-09-25 09:00:00+02:00</t>
  </si>
  <si>
    <t>2024-09-25 10:00:00+02:00</t>
  </si>
  <si>
    <t>2024-09-25 11:00:00+02:00</t>
  </si>
  <si>
    <t>2024-09-25 12:00:00+02:00</t>
  </si>
  <si>
    <t>2024-09-25 13:00:00+02:00</t>
  </si>
  <si>
    <t>2024-09-25 14:00:00+02:00</t>
  </si>
  <si>
    <t>2024-09-25 15:00:00+02:00</t>
  </si>
  <si>
    <t>2024-09-25 16:00:00+02:00</t>
  </si>
  <si>
    <t>2024-09-25 17:00:00+02:00</t>
  </si>
  <si>
    <t>2024-09-25 18:00:00+02:00</t>
  </si>
  <si>
    <t>2024-09-25 19:00:00+02:00</t>
  </si>
  <si>
    <t>2024-09-25 20:00:00+02:00</t>
  </si>
  <si>
    <t>2024-09-25 21:00:00+02:00</t>
  </si>
  <si>
    <t>2024-09-25 22:00:00+02:00</t>
  </si>
  <si>
    <t>2024-09-25 23:00:00+02:00</t>
  </si>
  <si>
    <t>2024-09-26 00:00:00+02:00</t>
  </si>
  <si>
    <t>2024-09-26 01:00:00+02:00</t>
  </si>
  <si>
    <t>2024-09-26 02:00:00+02:00</t>
  </si>
  <si>
    <t>2024-09-26 03:00:00+02:00</t>
  </si>
  <si>
    <t>2024-09-26 04:00:00+02:00</t>
  </si>
  <si>
    <t>2024-09-26 05:00:00+02:00</t>
  </si>
  <si>
    <t>2024-09-26 06:00:00+02:00</t>
  </si>
  <si>
    <t>2024-09-26 07:00:00+02:00</t>
  </si>
  <si>
    <t>2024-09-26 08:00:00+02:00</t>
  </si>
  <si>
    <t>2024-09-26 09:00:00+02:00</t>
  </si>
  <si>
    <t>2024-09-26 10:00:00+02:00</t>
  </si>
  <si>
    <t>2024-09-26 11:00:00+02:00</t>
  </si>
  <si>
    <t>2024-09-26 12:00:00+02:00</t>
  </si>
  <si>
    <t>2024-09-26 13:00:00+02:00</t>
  </si>
  <si>
    <t>2024-09-26 14:00:00+02:00</t>
  </si>
  <si>
    <t>2024-09-26 15:00:00+02:00</t>
  </si>
  <si>
    <t>2024-09-26 16:00:00+02:00</t>
  </si>
  <si>
    <t>2024-09-26 17:00:00+02:00</t>
  </si>
  <si>
    <t>2024-09-26 18:00:00+02:00</t>
  </si>
  <si>
    <t>2024-09-26 19:00:00+02:00</t>
  </si>
  <si>
    <t>2024-09-26 20:00:00+02:00</t>
  </si>
  <si>
    <t>2024-09-26 21:00:00+02:00</t>
  </si>
  <si>
    <t>2024-09-26 22:00:00+02:00</t>
  </si>
  <si>
    <t>2024-09-26 23:00:00+02:00</t>
  </si>
  <si>
    <t>2024-09-27 00:00:00+02:00</t>
  </si>
  <si>
    <t>2024-09-27 01:00:00+02:00</t>
  </si>
  <si>
    <t>2024-09-27 02:00:00+02:00</t>
  </si>
  <si>
    <t>2024-09-27 03:00:00+02:00</t>
  </si>
  <si>
    <t>2024-09-27 04:00:00+02:00</t>
  </si>
  <si>
    <t>2024-09-27 05:00:00+02:00</t>
  </si>
  <si>
    <t>2024-09-27 06:00:00+02:00</t>
  </si>
  <si>
    <t>2024-09-27 07:00:00+02:00</t>
  </si>
  <si>
    <t>2024-09-27 08:00:00+02:00</t>
  </si>
  <si>
    <t>2024-09-27 09:00:00+02:00</t>
  </si>
  <si>
    <t>2024-09-27 10:00:00+02:00</t>
  </si>
  <si>
    <t>2024-09-27 11:00:00+02:00</t>
  </si>
  <si>
    <t>2024-09-27 12:00:00+02:00</t>
  </si>
  <si>
    <t>2024-09-27 13:00:00+02:00</t>
  </si>
  <si>
    <t>2024-09-27 14:00:00+02:00</t>
  </si>
  <si>
    <t>2024-09-27 15:00:00+02:00</t>
  </si>
  <si>
    <t>2024-09-27 16:00:00+02:00</t>
  </si>
  <si>
    <t>2024-09-27 17:00:00+02:00</t>
  </si>
  <si>
    <t>2024-09-27 18:00:00+02:00</t>
  </si>
  <si>
    <t>2024-09-27 19:00:00+02:00</t>
  </si>
  <si>
    <t>2024-09-27 20:00:00+02:00</t>
  </si>
  <si>
    <t>2024-09-27 21:00:00+02:00</t>
  </si>
  <si>
    <t>2024-09-27 22:00:00+02:00</t>
  </si>
  <si>
    <t>2024-09-27 23:00:00+02:00</t>
  </si>
  <si>
    <t>2024-09-28 00:00:00+02:00</t>
  </si>
  <si>
    <t>2024-09-28 01:00:00+02:00</t>
  </si>
  <si>
    <t>2024-09-28 02:00:00+02:00</t>
  </si>
  <si>
    <t>2024-09-28 03:00:00+02:00</t>
  </si>
  <si>
    <t>2024-09-28 04:00:00+02:00</t>
  </si>
  <si>
    <t>2024-09-28 05:00:00+02:00</t>
  </si>
  <si>
    <t>2024-09-28 06:00:00+02:00</t>
  </si>
  <si>
    <t>2024-09-28 07:00:00+02:00</t>
  </si>
  <si>
    <t>2024-09-28 08:00:00+02:00</t>
  </si>
  <si>
    <t>2024-09-28 09:00:00+02:00</t>
  </si>
  <si>
    <t>2024-09-28 10:00:00+02:00</t>
  </si>
  <si>
    <t>2024-09-28 11:00:00+02:00</t>
  </si>
  <si>
    <t>2024-09-28 12:00:00+02:00</t>
  </si>
  <si>
    <t>2024-09-28 13:00:00+02:00</t>
  </si>
  <si>
    <t>2024-09-28 14:00:00+02:00</t>
  </si>
  <si>
    <t>2024-09-28 15:00:00+02:00</t>
  </si>
  <si>
    <t>2024-09-28 16:00:00+02:00</t>
  </si>
  <si>
    <t>2024-09-28 17:00:00+02:00</t>
  </si>
  <si>
    <t>2024-09-28 18:00:00+02:00</t>
  </si>
  <si>
    <t>2024-09-28 19:00:00+02:00</t>
  </si>
  <si>
    <t>2024-09-28 20:00:00+02:00</t>
  </si>
  <si>
    <t>2024-09-28 21:00:00+02:00</t>
  </si>
  <si>
    <t>2024-09-28 22:00:00+02:00</t>
  </si>
  <si>
    <t>2024-09-28 23:00:00+02:00</t>
  </si>
  <si>
    <t>2024-09-29 00:00:00+02:00</t>
  </si>
  <si>
    <t>2024-09-29 01:00:00+02:00</t>
  </si>
  <si>
    <t>2024-09-29 02:00:00+02:00</t>
  </si>
  <si>
    <t>2024-09-29 03:00:00+02:00</t>
  </si>
  <si>
    <t>2024-09-29 04:00:00+02:00</t>
  </si>
  <si>
    <t>2024-09-29 05:00:00+02:00</t>
  </si>
  <si>
    <t>2024-09-29 06:00:00+02:00</t>
  </si>
  <si>
    <t>2024-09-29 07:00:00+02:00</t>
  </si>
  <si>
    <t>2024-09-29 08:00:00+02:00</t>
  </si>
  <si>
    <t>2024-09-29 09:00:00+02:00</t>
  </si>
  <si>
    <t>2024-09-29 10:00:00+02:00</t>
  </si>
  <si>
    <t>2024-09-29 11:00:00+02:00</t>
  </si>
  <si>
    <t>2024-09-29 12:00:00+02:00</t>
  </si>
  <si>
    <t>2024-09-29 13:00:00+02:00</t>
  </si>
  <si>
    <t>2024-09-29 14:00:00+02:00</t>
  </si>
  <si>
    <t>2024-09-29 15:00:00+02:00</t>
  </si>
  <si>
    <t>2024-09-29 16:00:00+02:00</t>
  </si>
  <si>
    <t>2024-09-29 17:00:00+02:00</t>
  </si>
  <si>
    <t>2024-09-29 18:00:00+02:00</t>
  </si>
  <si>
    <t>2024-09-29 19:00:00+02:00</t>
  </si>
  <si>
    <t>2024-09-29 20:00:00+02:00</t>
  </si>
  <si>
    <t>2024-09-29 21:00:00+02:00</t>
  </si>
  <si>
    <t>2024-09-29 22:00:00+02:00</t>
  </si>
  <si>
    <t>2024-09-29 23:00:00+02:00</t>
  </si>
  <si>
    <t>2024-09-30 00:00:00+02:00</t>
  </si>
  <si>
    <t>2024-09-30 01:00:00+02:00</t>
  </si>
  <si>
    <t>2024-09-30 02:00:00+02:00</t>
  </si>
  <si>
    <t>2024-09-30 03:00:00+02:00</t>
  </si>
  <si>
    <t>2024-09-30 04:00:00+02:00</t>
  </si>
  <si>
    <t>2024-09-30 05:00:00+02:00</t>
  </si>
  <si>
    <t>2024-09-30 06:00:00+02:00</t>
  </si>
  <si>
    <t>2024-09-30 07:00:00+02:00</t>
  </si>
  <si>
    <t>2024-09-30 08:00:00+02:00</t>
  </si>
  <si>
    <t>2024-09-30 09:00:00+02:00</t>
  </si>
  <si>
    <t>2024-09-30 10:00:00+02:00</t>
  </si>
  <si>
    <t>2024-09-30 11:00:00+02:00</t>
  </si>
  <si>
    <t>2024-09-30 12:00:00+02:00</t>
  </si>
  <si>
    <t>2024-09-30 13:00:00+02:00</t>
  </si>
  <si>
    <t>2024-09-30 14:00:00+02:00</t>
  </si>
  <si>
    <t>2024-09-30 15:00:00+02:00</t>
  </si>
  <si>
    <t>2024-09-30 16:00:00+02:00</t>
  </si>
  <si>
    <t>2024-09-30 17:00:00+02:00</t>
  </si>
  <si>
    <t>2024-09-30 18:00:00+02:00</t>
  </si>
  <si>
    <t>2024-09-30 19:00:00+02:00</t>
  </si>
  <si>
    <t>2024-09-30 20:00:00+02:00</t>
  </si>
  <si>
    <t>2024-09-30 21:00:00+02:00</t>
  </si>
  <si>
    <t>2024-09-30 22:00:00+02:00</t>
  </si>
  <si>
    <t>2024-09-30 23:00:00+02:00</t>
  </si>
  <si>
    <t>Cambio &lt;0 por 0</t>
  </si>
  <si>
    <t>Columna B de Predicciones</t>
  </si>
  <si>
    <t>FORECAST</t>
  </si>
  <si>
    <t>DIFF</t>
  </si>
  <si>
    <t>DIFF ABS</t>
  </si>
  <si>
    <t>CONSUMIDO FOTOVOLTAICA FABRICA REAL</t>
  </si>
  <si>
    <t>suma</t>
  </si>
  <si>
    <t>Está alimentado?</t>
  </si>
  <si>
    <t>Estudiantes predicen</t>
  </si>
  <si>
    <t>count</t>
  </si>
  <si>
    <t>underutilization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</si>
</sst>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sz val="9.8000000000000007"/>
      <color rgb="FFBCBEC4"/>
      <name val="JetBrains Mono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4" fillId="3" borderId="0" xfId="0" applyFont="1" applyFill="1" applyAlignment="1">
      <alignment horizontal="right" wrapText="1"/>
    </xf>
    <xf numFmtId="0" fontId="6" fillId="2" borderId="0" xfId="0" applyFont="1" applyFill="1"/>
    <xf numFmtId="0" fontId="0" fillId="3" borderId="0" xfId="0" applyFill="1" applyProtection="1">
      <protection locked="0"/>
    </xf>
    <xf numFmtId="0" fontId="1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8" fillId="3" borderId="0" xfId="0" applyFont="1" applyFill="1" applyAlignment="1">
      <alignment wrapText="1"/>
    </xf>
    <xf numFmtId="0" fontId="10" fillId="3" borderId="0" xfId="0" applyFont="1" applyFill="1"/>
    <xf numFmtId="164" fontId="9" fillId="3" borderId="0" xfId="0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4" borderId="0" xfId="0" applyFont="1" applyFill="1"/>
    <xf numFmtId="164" fontId="14" fillId="4" borderId="0" xfId="0" applyNumberFormat="1" applyFont="1" applyFill="1"/>
    <xf numFmtId="0" fontId="12" fillId="2" borderId="0" xfId="0" applyFont="1" applyFill="1"/>
    <xf numFmtId="0" fontId="11" fillId="2" borderId="0" xfId="0" applyFont="1" applyFill="1"/>
    <xf numFmtId="0" fontId="15" fillId="0" borderId="1" xfId="0" applyFont="1" applyBorder="1" applyAlignment="1" applyProtection="1">
      <alignment readingOrder="1"/>
      <protection locked="0"/>
    </xf>
    <xf numFmtId="11" fontId="15" fillId="0" borderId="1" xfId="0" applyNumberFormat="1" applyFont="1" applyBorder="1" applyAlignment="1" applyProtection="1">
      <alignment readingOrder="1"/>
      <protection locked="0"/>
    </xf>
    <xf numFmtId="3" fontId="15" fillId="0" borderId="1" xfId="0" applyNumberFormat="1" applyFont="1" applyBorder="1" applyAlignment="1" applyProtection="1">
      <alignment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409575</xdr:colOff>
      <xdr:row>1</xdr:row>
      <xdr:rowOff>167309</xdr:rowOff>
    </xdr:from>
    <xdr:to>
      <xdr:col>4</xdr:col>
      <xdr:colOff>3514723</xdr:colOff>
      <xdr:row>5</xdr:row>
      <xdr:rowOff>132108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8D6ED0-12F8-4A55-C8B9-B7AC6AA1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357809"/>
          <a:ext cx="5572123" cy="726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K1125"/>
  <sheetViews>
    <sheetView tabSelected="1" workbookViewId="0">
      <selection activeCell="E7" sqref="E7"/>
    </sheetView>
  </sheetViews>
  <sheetFormatPr baseColWidth="10" defaultColWidth="9.1640625" defaultRowHeight="15"/>
  <cols>
    <col min="1" max="3" width="9.1640625" style="2"/>
    <col min="4" max="4" width="27.83203125" style="2" customWidth="1"/>
    <col min="5" max="5" width="53.6640625" style="2" customWidth="1"/>
    <col min="6" max="6" width="7.5" style="2" customWidth="1"/>
    <col min="7" max="7" width="13.5" style="2" customWidth="1"/>
    <col min="8" max="8" width="28.33203125" style="13" customWidth="1"/>
    <col min="9" max="9" width="4.1640625" style="2" customWidth="1"/>
    <col min="10" max="10" width="34.83203125" style="2" customWidth="1"/>
    <col min="11" max="11" width="37.5" style="2" customWidth="1"/>
    <col min="12" max="16384" width="9.1640625" style="2"/>
  </cols>
  <sheetData>
    <row r="6" spans="4:11" ht="65.25" customHeight="1">
      <c r="D6" s="3" t="s">
        <v>0</v>
      </c>
      <c r="E6" s="4" t="s">
        <v>1</v>
      </c>
      <c r="G6" s="9" t="s">
        <v>2</v>
      </c>
      <c r="H6" s="12">
        <f>Hoja1!G982</f>
        <v>35.881989210225562</v>
      </c>
      <c r="I6" s="11"/>
      <c r="J6" s="10" t="s">
        <v>3</v>
      </c>
      <c r="K6" s="12">
        <f>Hoja1!L983</f>
        <v>-21320.009996888024</v>
      </c>
    </row>
    <row r="7" spans="4:11" ht="24">
      <c r="D7" s="5" t="s">
        <v>4</v>
      </c>
      <c r="E7" s="23">
        <v>8.4404519999999997E-2</v>
      </c>
      <c r="J7" s="7"/>
    </row>
    <row r="8" spans="4:11">
      <c r="D8" s="5" t="s">
        <v>5</v>
      </c>
      <c r="E8" s="23">
        <v>8.4404519999999997E-2</v>
      </c>
      <c r="G8" s="8" t="s">
        <v>6</v>
      </c>
    </row>
    <row r="9" spans="4:11">
      <c r="D9" s="5" t="s">
        <v>7</v>
      </c>
      <c r="E9" s="24">
        <v>8.4404519999999997E-2</v>
      </c>
    </row>
    <row r="10" spans="4:11">
      <c r="D10" s="5" t="s">
        <v>8</v>
      </c>
      <c r="E10" s="24">
        <v>8.4404519999999997E-2</v>
      </c>
    </row>
    <row r="11" spans="4:11">
      <c r="D11" s="5" t="s">
        <v>9</v>
      </c>
      <c r="E11" s="24">
        <v>8.4404519999999997E-2</v>
      </c>
    </row>
    <row r="12" spans="4:11">
      <c r="D12" s="5" t="s">
        <v>10</v>
      </c>
      <c r="E12" s="24">
        <v>8.4404519999999997E-2</v>
      </c>
    </row>
    <row r="13" spans="4:11" ht="15.75" customHeight="1">
      <c r="D13" s="5" t="s">
        <v>11</v>
      </c>
      <c r="E13" s="24">
        <v>8.4404519999999997E-2</v>
      </c>
      <c r="H13" s="14"/>
    </row>
    <row r="14" spans="4:11">
      <c r="D14" s="5" t="s">
        <v>12</v>
      </c>
      <c r="E14" s="24">
        <v>8.4404519999999997E-2</v>
      </c>
    </row>
    <row r="15" spans="4:11" ht="12.75" customHeight="1">
      <c r="D15" s="5" t="s">
        <v>13</v>
      </c>
      <c r="E15" s="23">
        <v>8.4404519999999997E-2</v>
      </c>
    </row>
    <row r="16" spans="4:11">
      <c r="D16" s="5" t="s">
        <v>14</v>
      </c>
      <c r="E16" s="25">
        <v>0.17382896</v>
      </c>
    </row>
    <row r="17" spans="4:5">
      <c r="D17" s="5" t="s">
        <v>15</v>
      </c>
      <c r="E17" s="25">
        <v>-0.21254729</v>
      </c>
    </row>
    <row r="18" spans="4:5">
      <c r="D18" s="5" t="s">
        <v>16</v>
      </c>
      <c r="E18" s="23">
        <v>-0.11253365999999999</v>
      </c>
    </row>
    <row r="19" spans="4:5">
      <c r="D19" s="5" t="s">
        <v>17</v>
      </c>
      <c r="E19" s="23">
        <v>-0.11253365999999999</v>
      </c>
    </row>
    <row r="20" spans="4:5">
      <c r="D20" s="1" t="s">
        <v>18</v>
      </c>
      <c r="E20" s="23">
        <v>-0.11253365999999999</v>
      </c>
    </row>
    <row r="21" spans="4:5">
      <c r="D21" s="1" t="s">
        <v>19</v>
      </c>
      <c r="E21" s="23">
        <v>-0.11253365999999999</v>
      </c>
    </row>
    <row r="22" spans="4:5">
      <c r="D22" s="1" t="s">
        <v>20</v>
      </c>
      <c r="E22" s="25">
        <v>-0.11253365999999999</v>
      </c>
    </row>
    <row r="23" spans="4:5">
      <c r="D23" s="1" t="s">
        <v>21</v>
      </c>
      <c r="E23" s="25">
        <v>-0.11253365999999999</v>
      </c>
    </row>
    <row r="24" spans="4:5">
      <c r="D24" s="1" t="s">
        <v>22</v>
      </c>
      <c r="E24" s="23">
        <v>-0.11253365999999999</v>
      </c>
    </row>
    <row r="25" spans="4:5">
      <c r="D25" s="1" t="s">
        <v>23</v>
      </c>
      <c r="E25" s="23">
        <v>-7.4580610000000006E-2</v>
      </c>
    </row>
    <row r="26" spans="4:5">
      <c r="D26" s="1" t="s">
        <v>24</v>
      </c>
      <c r="E26" s="25">
        <v>0.15714432</v>
      </c>
    </row>
    <row r="27" spans="4:5">
      <c r="D27" s="1" t="s">
        <v>25</v>
      </c>
      <c r="E27" s="23">
        <v>0.124860086</v>
      </c>
    </row>
    <row r="28" spans="4:5">
      <c r="D28" s="1" t="s">
        <v>26</v>
      </c>
      <c r="E28" s="23">
        <v>0.15972464</v>
      </c>
    </row>
    <row r="29" spans="4:5">
      <c r="D29" s="1" t="s">
        <v>27</v>
      </c>
      <c r="E29" s="23">
        <v>0.1681821</v>
      </c>
    </row>
    <row r="30" spans="4:5">
      <c r="D30" s="1" t="s">
        <v>28</v>
      </c>
      <c r="E30" s="23">
        <v>0.1681821</v>
      </c>
    </row>
    <row r="31" spans="4:5">
      <c r="D31" s="1" t="s">
        <v>29</v>
      </c>
      <c r="E31" s="23">
        <v>7.803707E-2</v>
      </c>
    </row>
    <row r="32" spans="4:5">
      <c r="D32" s="1" t="s">
        <v>30</v>
      </c>
      <c r="E32" s="24">
        <v>7.803707E-2</v>
      </c>
    </row>
    <row r="33" spans="4:5">
      <c r="D33" s="1" t="s">
        <v>31</v>
      </c>
      <c r="E33" s="23">
        <v>7.803707E-2</v>
      </c>
    </row>
    <row r="34" spans="4:5">
      <c r="D34" s="1" t="s">
        <v>32</v>
      </c>
      <c r="E34" s="24">
        <v>7.803707E-2</v>
      </c>
    </row>
    <row r="35" spans="4:5">
      <c r="D35" s="1" t="s">
        <v>33</v>
      </c>
      <c r="E35" s="24">
        <v>7.803707E-2</v>
      </c>
    </row>
    <row r="36" spans="4:5">
      <c r="D36" s="1" t="s">
        <v>34</v>
      </c>
      <c r="E36" s="24">
        <v>7.803707E-2</v>
      </c>
    </row>
    <row r="37" spans="4:5">
      <c r="D37" s="1" t="s">
        <v>35</v>
      </c>
      <c r="E37" s="24">
        <v>7.803707E-2</v>
      </c>
    </row>
    <row r="38" spans="4:5">
      <c r="D38" s="1" t="s">
        <v>36</v>
      </c>
      <c r="E38" s="24">
        <v>7.803707E-2</v>
      </c>
    </row>
    <row r="39" spans="4:5">
      <c r="D39" s="1" t="s">
        <v>37</v>
      </c>
      <c r="E39" s="25">
        <v>7.803707E-2</v>
      </c>
    </row>
    <row r="40" spans="4:5">
      <c r="D40" s="1" t="s">
        <v>38</v>
      </c>
      <c r="E40" s="25">
        <v>0.16746150000000001</v>
      </c>
    </row>
    <row r="41" spans="4:5">
      <c r="D41" s="1" t="s">
        <v>39</v>
      </c>
      <c r="E41" s="25">
        <v>-0.35845630000000001</v>
      </c>
    </row>
    <row r="42" spans="4:5">
      <c r="D42" s="1" t="s">
        <v>40</v>
      </c>
      <c r="E42" s="25">
        <v>-0.75584876999999995</v>
      </c>
    </row>
    <row r="43" spans="4:5">
      <c r="D43" s="1" t="s">
        <v>41</v>
      </c>
      <c r="E43" s="25">
        <v>-0.75584876999999995</v>
      </c>
    </row>
    <row r="44" spans="4:5">
      <c r="D44" s="1" t="s">
        <v>42</v>
      </c>
      <c r="E44" s="25">
        <v>-0.75584876999999995</v>
      </c>
    </row>
    <row r="45" spans="4:5">
      <c r="D45" s="1" t="s">
        <v>43</v>
      </c>
      <c r="E45" s="25">
        <v>-0.75584876999999995</v>
      </c>
    </row>
    <row r="46" spans="4:5">
      <c r="D46" s="1" t="s">
        <v>44</v>
      </c>
      <c r="E46" s="25">
        <v>-0.75584876999999995</v>
      </c>
    </row>
    <row r="47" spans="4:5">
      <c r="D47" s="1" t="s">
        <v>45</v>
      </c>
      <c r="E47" s="25">
        <v>-0.75584876999999995</v>
      </c>
    </row>
    <row r="48" spans="4:5">
      <c r="D48" s="1" t="s">
        <v>46</v>
      </c>
      <c r="E48" s="25">
        <v>-0.75584876999999995</v>
      </c>
    </row>
    <row r="49" spans="4:5">
      <c r="D49" s="1" t="s">
        <v>47</v>
      </c>
      <c r="E49" s="25">
        <v>-0.6654217</v>
      </c>
    </row>
    <row r="50" spans="4:5">
      <c r="D50" s="1" t="s">
        <v>48</v>
      </c>
      <c r="E50" s="25">
        <v>-0.26293567000000001</v>
      </c>
    </row>
    <row r="51" spans="4:5">
      <c r="D51" s="1" t="s">
        <v>49</v>
      </c>
      <c r="E51" s="25">
        <v>-2.5769169000000001E-2</v>
      </c>
    </row>
    <row r="52" spans="4:5">
      <c r="D52" s="1" t="s">
        <v>50</v>
      </c>
      <c r="E52" s="25">
        <v>0.14056750000000001</v>
      </c>
    </row>
    <row r="53" spans="4:5">
      <c r="D53" s="1" t="s">
        <v>51</v>
      </c>
      <c r="E53" s="25">
        <v>0.14902496000000001</v>
      </c>
    </row>
    <row r="54" spans="4:5">
      <c r="D54" s="1" t="s">
        <v>52</v>
      </c>
      <c r="E54" s="25">
        <v>0.14902496000000001</v>
      </c>
    </row>
    <row r="55" spans="4:5">
      <c r="D55" s="1" t="s">
        <v>53</v>
      </c>
      <c r="E55" s="24">
        <v>7.803707E-2</v>
      </c>
    </row>
    <row r="56" spans="4:5">
      <c r="D56" s="1" t="s">
        <v>54</v>
      </c>
      <c r="E56" s="25">
        <v>7.803707E-2</v>
      </c>
    </row>
    <row r="57" spans="4:5">
      <c r="D57" s="1" t="s">
        <v>55</v>
      </c>
      <c r="E57" s="24">
        <v>7.803707E-2</v>
      </c>
    </row>
    <row r="58" spans="4:5">
      <c r="D58" s="1" t="s">
        <v>56</v>
      </c>
      <c r="E58" s="24">
        <v>7.803707E-2</v>
      </c>
    </row>
    <row r="59" spans="4:5">
      <c r="D59" s="1" t="s">
        <v>57</v>
      </c>
      <c r="E59" s="24">
        <v>7.803707E-2</v>
      </c>
    </row>
    <row r="60" spans="4:5">
      <c r="D60" s="1" t="s">
        <v>58</v>
      </c>
      <c r="E60" s="24">
        <v>7.803707E-2</v>
      </c>
    </row>
    <row r="61" spans="4:5">
      <c r="D61" s="1" t="s">
        <v>59</v>
      </c>
      <c r="E61" s="24">
        <v>7.803707E-2</v>
      </c>
    </row>
    <row r="62" spans="4:5">
      <c r="D62" s="1" t="s">
        <v>60</v>
      </c>
      <c r="E62" s="24">
        <v>7.803707E-2</v>
      </c>
    </row>
    <row r="63" spans="4:5">
      <c r="D63" s="1" t="s">
        <v>61</v>
      </c>
      <c r="E63" s="23">
        <v>7.803707E-2</v>
      </c>
    </row>
    <row r="64" spans="4:5">
      <c r="D64" s="1" t="s">
        <v>62</v>
      </c>
      <c r="E64" s="25">
        <v>0.16746150000000001</v>
      </c>
    </row>
    <row r="65" spans="4:5">
      <c r="D65" s="1" t="s">
        <v>63</v>
      </c>
      <c r="E65" s="25">
        <v>-0.35845630000000001</v>
      </c>
    </row>
    <row r="66" spans="4:5">
      <c r="D66" s="1" t="s">
        <v>64</v>
      </c>
      <c r="E66" s="25">
        <v>-0.75584876999999995</v>
      </c>
    </row>
    <row r="67" spans="4:5">
      <c r="D67" s="1" t="s">
        <v>65</v>
      </c>
      <c r="E67" s="25">
        <v>-0.75584876999999995</v>
      </c>
    </row>
    <row r="68" spans="4:5">
      <c r="D68" s="1" t="s">
        <v>66</v>
      </c>
      <c r="E68" s="25">
        <v>-0.75584876999999995</v>
      </c>
    </row>
    <row r="69" spans="4:5">
      <c r="D69" s="1" t="s">
        <v>67</v>
      </c>
      <c r="E69" s="25">
        <v>-0.75584876999999995</v>
      </c>
    </row>
    <row r="70" spans="4:5">
      <c r="D70" s="1" t="s">
        <v>68</v>
      </c>
      <c r="E70" s="25">
        <v>-0.75584876999999995</v>
      </c>
    </row>
    <row r="71" spans="4:5">
      <c r="D71" s="1" t="s">
        <v>69</v>
      </c>
      <c r="E71" s="25">
        <v>-0.75584876999999995</v>
      </c>
    </row>
    <row r="72" spans="4:5">
      <c r="D72" s="1" t="s">
        <v>70</v>
      </c>
      <c r="E72" s="25">
        <v>-0.75584876999999995</v>
      </c>
    </row>
    <row r="73" spans="4:5">
      <c r="D73" s="1" t="s">
        <v>71</v>
      </c>
      <c r="E73" s="25">
        <v>-0.6654217</v>
      </c>
    </row>
    <row r="74" spans="4:5">
      <c r="D74" s="1" t="s">
        <v>72</v>
      </c>
      <c r="E74" s="25">
        <v>-0.26293567000000001</v>
      </c>
    </row>
    <row r="75" spans="4:5">
      <c r="D75" s="1" t="s">
        <v>73</v>
      </c>
      <c r="E75" s="23">
        <v>-2.5769169000000001E-2</v>
      </c>
    </row>
    <row r="76" spans="4:5">
      <c r="D76" s="1" t="s">
        <v>74</v>
      </c>
      <c r="E76" s="23">
        <v>0.14056750000000001</v>
      </c>
    </row>
    <row r="77" spans="4:5">
      <c r="D77" s="1" t="s">
        <v>75</v>
      </c>
      <c r="E77" s="23">
        <v>0.14902496000000001</v>
      </c>
    </row>
    <row r="78" spans="4:5">
      <c r="D78" s="1" t="s">
        <v>76</v>
      </c>
      <c r="E78" s="23">
        <v>0.14902496000000001</v>
      </c>
    </row>
    <row r="79" spans="4:5">
      <c r="D79" s="1" t="s">
        <v>77</v>
      </c>
      <c r="E79" s="24">
        <v>7.803707E-2</v>
      </c>
    </row>
    <row r="80" spans="4:5">
      <c r="D80" s="1" t="s">
        <v>78</v>
      </c>
      <c r="E80" s="23">
        <v>7.803707E-2</v>
      </c>
    </row>
    <row r="81" spans="4:5">
      <c r="D81" s="1" t="s">
        <v>79</v>
      </c>
      <c r="E81" s="23">
        <v>7.803707E-2</v>
      </c>
    </row>
    <row r="82" spans="4:5">
      <c r="D82" s="1" t="s">
        <v>80</v>
      </c>
      <c r="E82" s="24">
        <v>7.803707E-2</v>
      </c>
    </row>
    <row r="83" spans="4:5">
      <c r="D83" s="1" t="s">
        <v>81</v>
      </c>
      <c r="E83" s="24">
        <v>7.803707E-2</v>
      </c>
    </row>
    <row r="84" spans="4:5">
      <c r="D84" s="1" t="s">
        <v>82</v>
      </c>
      <c r="E84" s="24">
        <v>7.803707E-2</v>
      </c>
    </row>
    <row r="85" spans="4:5">
      <c r="D85" s="1" t="s">
        <v>83</v>
      </c>
      <c r="E85" s="24">
        <v>7.803707E-2</v>
      </c>
    </row>
    <row r="86" spans="4:5">
      <c r="D86" s="1" t="s">
        <v>84</v>
      </c>
      <c r="E86" s="24">
        <v>7.803707E-2</v>
      </c>
    </row>
    <row r="87" spans="4:5">
      <c r="D87" s="1" t="s">
        <v>85</v>
      </c>
      <c r="E87" s="23">
        <v>7.803707E-2</v>
      </c>
    </row>
    <row r="88" spans="4:5">
      <c r="D88" s="1" t="s">
        <v>86</v>
      </c>
      <c r="E88" s="25">
        <v>0.16746150000000001</v>
      </c>
    </row>
    <row r="89" spans="4:5">
      <c r="D89" s="1" t="s">
        <v>87</v>
      </c>
      <c r="E89" s="25">
        <v>-0.35845630000000001</v>
      </c>
    </row>
    <row r="90" spans="4:5">
      <c r="D90" s="1" t="s">
        <v>88</v>
      </c>
      <c r="E90" s="25">
        <v>-0.75584876999999995</v>
      </c>
    </row>
    <row r="91" spans="4:5">
      <c r="D91" s="1" t="s">
        <v>89</v>
      </c>
      <c r="E91" s="25">
        <v>-0.75584876999999995</v>
      </c>
    </row>
    <row r="92" spans="4:5">
      <c r="D92" s="1" t="s">
        <v>90</v>
      </c>
      <c r="E92" s="25">
        <v>-0.75584876999999995</v>
      </c>
    </row>
    <row r="93" spans="4:5">
      <c r="D93" s="1" t="s">
        <v>91</v>
      </c>
      <c r="E93" s="25">
        <v>-0.75584876999999995</v>
      </c>
    </row>
    <row r="94" spans="4:5">
      <c r="D94" s="1" t="s">
        <v>92</v>
      </c>
      <c r="E94" s="25">
        <v>-0.75584876999999995</v>
      </c>
    </row>
    <row r="95" spans="4:5">
      <c r="D95" s="1" t="s">
        <v>93</v>
      </c>
      <c r="E95" s="25">
        <v>-0.75584876999999995</v>
      </c>
    </row>
    <row r="96" spans="4:5">
      <c r="D96" s="1" t="s">
        <v>94</v>
      </c>
      <c r="E96" s="25">
        <v>-0.75584876999999995</v>
      </c>
    </row>
    <row r="97" spans="4:5">
      <c r="D97" s="1" t="s">
        <v>95</v>
      </c>
      <c r="E97" s="25">
        <v>-0.6654217</v>
      </c>
    </row>
    <row r="98" spans="4:5">
      <c r="D98" s="1" t="s">
        <v>96</v>
      </c>
      <c r="E98" s="25">
        <v>-0.26293567000000001</v>
      </c>
    </row>
    <row r="99" spans="4:5">
      <c r="D99" s="1" t="s">
        <v>97</v>
      </c>
      <c r="E99" s="23">
        <v>-2.5769169000000001E-2</v>
      </c>
    </row>
    <row r="100" spans="4:5">
      <c r="D100" s="1" t="s">
        <v>98</v>
      </c>
      <c r="E100" s="23">
        <v>0.14056750000000001</v>
      </c>
    </row>
    <row r="101" spans="4:5">
      <c r="D101" s="1" t="s">
        <v>99</v>
      </c>
      <c r="E101" s="23">
        <v>0.14902496000000001</v>
      </c>
    </row>
    <row r="102" spans="4:5">
      <c r="D102" s="1" t="s">
        <v>100</v>
      </c>
      <c r="E102" s="23">
        <v>0.14902496000000001</v>
      </c>
    </row>
    <row r="103" spans="4:5">
      <c r="D103" s="1" t="s">
        <v>101</v>
      </c>
      <c r="E103" s="24">
        <v>7.803707E-2</v>
      </c>
    </row>
    <row r="104" spans="4:5">
      <c r="D104" s="1" t="s">
        <v>102</v>
      </c>
      <c r="E104" s="23">
        <v>7.803707E-2</v>
      </c>
    </row>
    <row r="105" spans="4:5">
      <c r="D105" s="1" t="s">
        <v>103</v>
      </c>
      <c r="E105" s="23">
        <v>7.803707E-2</v>
      </c>
    </row>
    <row r="106" spans="4:5">
      <c r="D106" s="1" t="s">
        <v>104</v>
      </c>
      <c r="E106" s="24">
        <v>7.803707E-2</v>
      </c>
    </row>
    <row r="107" spans="4:5">
      <c r="D107" s="1" t="s">
        <v>105</v>
      </c>
      <c r="E107" s="24">
        <v>7.803707E-2</v>
      </c>
    </row>
    <row r="108" spans="4:5">
      <c r="D108" s="1" t="s">
        <v>106</v>
      </c>
      <c r="E108" s="24">
        <v>7.803707E-2</v>
      </c>
    </row>
    <row r="109" spans="4:5">
      <c r="D109" s="1" t="s">
        <v>107</v>
      </c>
      <c r="E109" s="24">
        <v>7.803707E-2</v>
      </c>
    </row>
    <row r="110" spans="4:5">
      <c r="D110" s="1" t="s">
        <v>108</v>
      </c>
      <c r="E110" s="24">
        <v>7.803707E-2</v>
      </c>
    </row>
    <row r="111" spans="4:5">
      <c r="D111" s="1" t="s">
        <v>109</v>
      </c>
      <c r="E111" s="23">
        <v>7.803707E-2</v>
      </c>
    </row>
    <row r="112" spans="4:5">
      <c r="D112" s="1" t="s">
        <v>110</v>
      </c>
      <c r="E112" s="25">
        <v>0.16746150000000001</v>
      </c>
    </row>
    <row r="113" spans="4:5">
      <c r="D113" s="1" t="s">
        <v>111</v>
      </c>
      <c r="E113" s="25">
        <v>-0.35845630000000001</v>
      </c>
    </row>
    <row r="114" spans="4:5">
      <c r="D114" s="1" t="s">
        <v>112</v>
      </c>
      <c r="E114" s="25">
        <v>-0.75584876999999995</v>
      </c>
    </row>
    <row r="115" spans="4:5">
      <c r="D115" s="1" t="s">
        <v>113</v>
      </c>
      <c r="E115" s="25">
        <v>-0.75584876999999995</v>
      </c>
    </row>
    <row r="116" spans="4:5">
      <c r="D116" s="1" t="s">
        <v>114</v>
      </c>
      <c r="E116" s="25">
        <v>-0.75584876999999995</v>
      </c>
    </row>
    <row r="117" spans="4:5">
      <c r="D117" s="1" t="s">
        <v>115</v>
      </c>
      <c r="E117" s="25">
        <v>-0.75584876999999995</v>
      </c>
    </row>
    <row r="118" spans="4:5">
      <c r="D118" s="1" t="s">
        <v>116</v>
      </c>
      <c r="E118" s="25">
        <v>-0.75584876999999995</v>
      </c>
    </row>
    <row r="119" spans="4:5">
      <c r="D119" s="1" t="s">
        <v>117</v>
      </c>
      <c r="E119" s="25">
        <v>-0.75584876999999995</v>
      </c>
    </row>
    <row r="120" spans="4:5">
      <c r="D120" s="1" t="s">
        <v>118</v>
      </c>
      <c r="E120" s="25">
        <v>-0.75584876999999995</v>
      </c>
    </row>
    <row r="121" spans="4:5">
      <c r="D121" s="1" t="s">
        <v>119</v>
      </c>
      <c r="E121" s="25">
        <v>-0.6654217</v>
      </c>
    </row>
    <row r="122" spans="4:5">
      <c r="D122" s="1" t="s">
        <v>120</v>
      </c>
      <c r="E122" s="23">
        <v>-0.26293567000000001</v>
      </c>
    </row>
    <row r="123" spans="4:5">
      <c r="D123" s="1" t="s">
        <v>121</v>
      </c>
      <c r="E123" s="23">
        <v>-2.5769169000000001E-2</v>
      </c>
    </row>
    <row r="124" spans="4:5">
      <c r="D124" s="1" t="s">
        <v>122</v>
      </c>
      <c r="E124" s="23">
        <v>0.14056750000000001</v>
      </c>
    </row>
    <row r="125" spans="4:5">
      <c r="D125" s="1" t="s">
        <v>123</v>
      </c>
      <c r="E125" s="23">
        <v>0.14902496000000001</v>
      </c>
    </row>
    <row r="126" spans="4:5">
      <c r="D126" s="1" t="s">
        <v>124</v>
      </c>
      <c r="E126" s="23">
        <v>0.14902496000000001</v>
      </c>
    </row>
    <row r="127" spans="4:5">
      <c r="D127" s="1" t="s">
        <v>125</v>
      </c>
      <c r="E127" s="23">
        <v>8.427962E-2</v>
      </c>
    </row>
    <row r="128" spans="4:5">
      <c r="D128" s="1" t="s">
        <v>126</v>
      </c>
      <c r="E128" s="23">
        <v>8.427962E-2</v>
      </c>
    </row>
    <row r="129" spans="4:5">
      <c r="D129" s="1" t="s">
        <v>127</v>
      </c>
      <c r="E129" s="24">
        <v>8.427962E-2</v>
      </c>
    </row>
    <row r="130" spans="4:5">
      <c r="D130" s="1" t="s">
        <v>128</v>
      </c>
      <c r="E130" s="24">
        <v>8.427962E-2</v>
      </c>
    </row>
    <row r="131" spans="4:5">
      <c r="D131" s="1" t="s">
        <v>129</v>
      </c>
      <c r="E131" s="24">
        <v>8.427962E-2</v>
      </c>
    </row>
    <row r="132" spans="4:5">
      <c r="D132" s="1" t="s">
        <v>130</v>
      </c>
      <c r="E132" s="24">
        <v>8.427962E-2</v>
      </c>
    </row>
    <row r="133" spans="4:5">
      <c r="D133" s="1" t="s">
        <v>131</v>
      </c>
      <c r="E133" s="24">
        <v>8.427962E-2</v>
      </c>
    </row>
    <row r="134" spans="4:5">
      <c r="D134" s="1" t="s">
        <v>132</v>
      </c>
      <c r="E134" s="24">
        <v>8.427962E-2</v>
      </c>
    </row>
    <row r="135" spans="4:5">
      <c r="D135" s="1" t="s">
        <v>133</v>
      </c>
      <c r="E135" s="25">
        <v>8.427962E-2</v>
      </c>
    </row>
    <row r="136" spans="4:5">
      <c r="D136" s="1" t="s">
        <v>134</v>
      </c>
      <c r="E136" s="25">
        <v>0.17370405999999999</v>
      </c>
    </row>
    <row r="137" spans="4:5">
      <c r="D137" s="1" t="s">
        <v>135</v>
      </c>
      <c r="E137" s="25">
        <v>-0.30057233999999999</v>
      </c>
    </row>
    <row r="138" spans="4:5">
      <c r="D138" s="1" t="s">
        <v>136</v>
      </c>
      <c r="E138" s="25">
        <v>-0.68517519999999998</v>
      </c>
    </row>
    <row r="139" spans="4:5">
      <c r="D139" s="1" t="s">
        <v>137</v>
      </c>
      <c r="E139" s="25">
        <v>-0.68517519999999998</v>
      </c>
    </row>
    <row r="140" spans="4:5">
      <c r="D140" s="1" t="s">
        <v>138</v>
      </c>
      <c r="E140" s="25">
        <v>-0.68517519999999998</v>
      </c>
    </row>
    <row r="141" spans="4:5">
      <c r="D141" s="1" t="s">
        <v>139</v>
      </c>
      <c r="E141" s="25">
        <v>-0.68517519999999998</v>
      </c>
    </row>
    <row r="142" spans="4:5">
      <c r="D142" s="1" t="s">
        <v>140</v>
      </c>
      <c r="E142" s="25">
        <v>-0.68517519999999998</v>
      </c>
    </row>
    <row r="143" spans="4:5">
      <c r="D143" s="1" t="s">
        <v>141</v>
      </c>
      <c r="E143" s="25">
        <v>-0.68517519999999998</v>
      </c>
    </row>
    <row r="144" spans="4:5">
      <c r="D144" s="1" t="s">
        <v>142</v>
      </c>
      <c r="E144" s="25">
        <v>-0.68517519999999998</v>
      </c>
    </row>
    <row r="145" spans="4:5">
      <c r="D145" s="1" t="s">
        <v>143</v>
      </c>
      <c r="E145" s="25">
        <v>-0.5947479</v>
      </c>
    </row>
    <row r="146" spans="4:5">
      <c r="D146" s="1" t="s">
        <v>144</v>
      </c>
      <c r="E146" s="25">
        <v>-0.19226204</v>
      </c>
    </row>
    <row r="147" spans="4:5">
      <c r="D147" s="1" t="s">
        <v>145</v>
      </c>
      <c r="E147" s="25">
        <v>4.4904415000000003E-2</v>
      </c>
    </row>
    <row r="148" spans="4:5">
      <c r="D148" s="1" t="s">
        <v>146</v>
      </c>
      <c r="E148" s="25">
        <v>0.15959973999999999</v>
      </c>
    </row>
    <row r="149" spans="4:5">
      <c r="D149" s="1" t="s">
        <v>147</v>
      </c>
      <c r="E149" s="25">
        <v>0.16805719999999999</v>
      </c>
    </row>
    <row r="150" spans="4:5">
      <c r="D150" s="1" t="s">
        <v>148</v>
      </c>
      <c r="E150" s="25">
        <v>0.16805719999999999</v>
      </c>
    </row>
    <row r="151" spans="4:5">
      <c r="D151" s="1" t="s">
        <v>149</v>
      </c>
      <c r="E151" s="24">
        <v>8.4404519999999997E-2</v>
      </c>
    </row>
    <row r="152" spans="4:5">
      <c r="D152" s="1" t="s">
        <v>150</v>
      </c>
      <c r="E152" s="25">
        <v>8.4404519999999997E-2</v>
      </c>
    </row>
    <row r="153" spans="4:5">
      <c r="D153" s="1" t="s">
        <v>151</v>
      </c>
      <c r="E153" s="25">
        <v>8.4404519999999997E-2</v>
      </c>
    </row>
    <row r="154" spans="4:5">
      <c r="D154" s="1" t="s">
        <v>152</v>
      </c>
      <c r="E154" s="24">
        <v>8.4404519999999997E-2</v>
      </c>
    </row>
    <row r="155" spans="4:5">
      <c r="D155" s="1" t="s">
        <v>153</v>
      </c>
      <c r="E155" s="24">
        <v>8.4404519999999997E-2</v>
      </c>
    </row>
    <row r="156" spans="4:5">
      <c r="D156" s="1" t="s">
        <v>154</v>
      </c>
      <c r="E156" s="24">
        <v>8.4404519999999997E-2</v>
      </c>
    </row>
    <row r="157" spans="4:5">
      <c r="D157" s="1" t="s">
        <v>155</v>
      </c>
      <c r="E157" s="24">
        <v>8.4404519999999997E-2</v>
      </c>
    </row>
    <row r="158" spans="4:5">
      <c r="D158" s="1" t="s">
        <v>156</v>
      </c>
      <c r="E158" s="24">
        <v>8.4404519999999997E-2</v>
      </c>
    </row>
    <row r="159" spans="4:5">
      <c r="D159" s="1" t="s">
        <v>157</v>
      </c>
      <c r="E159" s="23">
        <v>8.4404519999999997E-2</v>
      </c>
    </row>
    <row r="160" spans="4:5">
      <c r="D160" s="1" t="s">
        <v>158</v>
      </c>
      <c r="E160" s="25">
        <v>0.17382896</v>
      </c>
    </row>
    <row r="161" spans="4:5">
      <c r="D161" s="1" t="s">
        <v>159</v>
      </c>
      <c r="E161" s="25">
        <v>-0.21254729</v>
      </c>
    </row>
    <row r="162" spans="4:5">
      <c r="D162" s="1" t="s">
        <v>160</v>
      </c>
      <c r="E162" s="23">
        <v>-0.11253365999999999</v>
      </c>
    </row>
    <row r="163" spans="4:5">
      <c r="D163" s="1" t="s">
        <v>161</v>
      </c>
      <c r="E163" s="23">
        <v>-0.11253365999999999</v>
      </c>
    </row>
    <row r="164" spans="4:5">
      <c r="D164" s="1" t="s">
        <v>162</v>
      </c>
      <c r="E164" s="25">
        <v>-0.11253365999999999</v>
      </c>
    </row>
    <row r="165" spans="4:5">
      <c r="D165" s="1" t="s">
        <v>163</v>
      </c>
      <c r="E165" s="25">
        <v>-0.11253365999999999</v>
      </c>
    </row>
    <row r="166" spans="4:5">
      <c r="D166" s="1" t="s">
        <v>164</v>
      </c>
      <c r="E166" s="25">
        <v>-0.11253365999999999</v>
      </c>
    </row>
    <row r="167" spans="4:5">
      <c r="D167" s="1" t="s">
        <v>165</v>
      </c>
      <c r="E167" s="25">
        <v>-0.11253365999999999</v>
      </c>
    </row>
    <row r="168" spans="4:5">
      <c r="D168" s="1" t="s">
        <v>166</v>
      </c>
      <c r="E168" s="25">
        <v>-0.11253365999999999</v>
      </c>
    </row>
    <row r="169" spans="4:5">
      <c r="D169" s="1" t="s">
        <v>167</v>
      </c>
      <c r="E169" s="25">
        <v>-7.4580610000000006E-2</v>
      </c>
    </row>
    <row r="170" spans="4:5">
      <c r="D170" s="1" t="s">
        <v>168</v>
      </c>
      <c r="E170" s="23">
        <v>0.15714432</v>
      </c>
    </row>
    <row r="171" spans="4:5">
      <c r="D171" s="1" t="s">
        <v>169</v>
      </c>
      <c r="E171" s="23">
        <v>0.124860086</v>
      </c>
    </row>
    <row r="172" spans="4:5">
      <c r="D172" s="1" t="s">
        <v>170</v>
      </c>
      <c r="E172" s="23">
        <v>0.15972464</v>
      </c>
    </row>
    <row r="173" spans="4:5">
      <c r="D173" s="1" t="s">
        <v>171</v>
      </c>
      <c r="E173" s="23">
        <v>0.1681821</v>
      </c>
    </row>
    <row r="174" spans="4:5">
      <c r="D174" s="1" t="s">
        <v>172</v>
      </c>
      <c r="E174" s="23">
        <v>0.1681821</v>
      </c>
    </row>
    <row r="175" spans="4:5">
      <c r="D175" s="1" t="s">
        <v>173</v>
      </c>
      <c r="E175" s="23">
        <v>8.4404519999999997E-2</v>
      </c>
    </row>
    <row r="176" spans="4:5">
      <c r="D176" s="1" t="s">
        <v>174</v>
      </c>
      <c r="E176" s="24">
        <v>8.4404519999999997E-2</v>
      </c>
    </row>
    <row r="177" spans="4:5">
      <c r="D177" s="1" t="s">
        <v>175</v>
      </c>
      <c r="E177" s="23">
        <v>8.4404519999999997E-2</v>
      </c>
    </row>
    <row r="178" spans="4:5">
      <c r="D178" s="1" t="s">
        <v>176</v>
      </c>
      <c r="E178" s="24">
        <v>8.4404519999999997E-2</v>
      </c>
    </row>
    <row r="179" spans="4:5">
      <c r="D179" s="1" t="s">
        <v>177</v>
      </c>
      <c r="E179" s="24">
        <v>8.4404519999999997E-2</v>
      </c>
    </row>
    <row r="180" spans="4:5">
      <c r="D180" s="1" t="s">
        <v>178</v>
      </c>
      <c r="E180" s="24">
        <v>8.4404519999999997E-2</v>
      </c>
    </row>
    <row r="181" spans="4:5">
      <c r="D181" s="1" t="s">
        <v>179</v>
      </c>
      <c r="E181" s="24">
        <v>8.4404519999999997E-2</v>
      </c>
    </row>
    <row r="182" spans="4:5">
      <c r="D182" s="1" t="s">
        <v>180</v>
      </c>
      <c r="E182" s="24">
        <v>8.4404519999999997E-2</v>
      </c>
    </row>
    <row r="183" spans="4:5">
      <c r="D183" s="1" t="s">
        <v>181</v>
      </c>
      <c r="E183" s="23">
        <v>8.4404519999999997E-2</v>
      </c>
    </row>
    <row r="184" spans="4:5">
      <c r="D184" s="1" t="s">
        <v>182</v>
      </c>
      <c r="E184" s="25">
        <v>0.17382896</v>
      </c>
    </row>
    <row r="185" spans="4:5">
      <c r="D185" s="1" t="s">
        <v>183</v>
      </c>
      <c r="E185" s="25">
        <v>-0.21254729</v>
      </c>
    </row>
    <row r="186" spans="4:5">
      <c r="D186" s="1" t="s">
        <v>184</v>
      </c>
      <c r="E186" s="23">
        <v>-0.11253365999999999</v>
      </c>
    </row>
    <row r="187" spans="4:5">
      <c r="D187" s="1" t="s">
        <v>185</v>
      </c>
      <c r="E187" s="23">
        <v>-0.11253365999999999</v>
      </c>
    </row>
    <row r="188" spans="4:5">
      <c r="D188" s="1" t="s">
        <v>186</v>
      </c>
      <c r="E188" s="25">
        <v>-0.11253365999999999</v>
      </c>
    </row>
    <row r="189" spans="4:5">
      <c r="D189" s="1" t="s">
        <v>187</v>
      </c>
      <c r="E189" s="25">
        <v>-0.11253365999999999</v>
      </c>
    </row>
    <row r="190" spans="4:5">
      <c r="D190" s="1" t="s">
        <v>188</v>
      </c>
      <c r="E190" s="25">
        <v>-0.11253365999999999</v>
      </c>
    </row>
    <row r="191" spans="4:5">
      <c r="D191" s="1" t="s">
        <v>189</v>
      </c>
      <c r="E191" s="25">
        <v>-0.11253365999999999</v>
      </c>
    </row>
    <row r="192" spans="4:5">
      <c r="D192" s="1" t="s">
        <v>190</v>
      </c>
      <c r="E192" s="25">
        <v>-0.11253365999999999</v>
      </c>
    </row>
    <row r="193" spans="4:5">
      <c r="D193" s="1" t="s">
        <v>191</v>
      </c>
      <c r="E193" s="25">
        <v>-7.4580610000000006E-2</v>
      </c>
    </row>
    <row r="194" spans="4:5">
      <c r="D194" s="1" t="s">
        <v>192</v>
      </c>
      <c r="E194" s="23">
        <v>0.15714432</v>
      </c>
    </row>
    <row r="195" spans="4:5">
      <c r="D195" s="1" t="s">
        <v>193</v>
      </c>
      <c r="E195" s="23">
        <v>0.124860086</v>
      </c>
    </row>
    <row r="196" spans="4:5">
      <c r="D196" s="1" t="s">
        <v>194</v>
      </c>
      <c r="E196" s="23">
        <v>0.15972464</v>
      </c>
    </row>
    <row r="197" spans="4:5">
      <c r="D197" s="1" t="s">
        <v>195</v>
      </c>
      <c r="E197" s="23">
        <v>0.1681821</v>
      </c>
    </row>
    <row r="198" spans="4:5">
      <c r="D198" s="1" t="s">
        <v>196</v>
      </c>
      <c r="E198" s="23">
        <v>0.1681821</v>
      </c>
    </row>
    <row r="199" spans="4:5">
      <c r="D199" s="1" t="s">
        <v>197</v>
      </c>
      <c r="E199" s="24">
        <v>7.803707E-2</v>
      </c>
    </row>
    <row r="200" spans="4:5">
      <c r="D200" s="1" t="s">
        <v>198</v>
      </c>
      <c r="E200" s="24">
        <v>7.803707E-2</v>
      </c>
    </row>
    <row r="201" spans="4:5">
      <c r="D201" s="1" t="s">
        <v>199</v>
      </c>
      <c r="E201" s="23">
        <v>7.803707E-2</v>
      </c>
    </row>
    <row r="202" spans="4:5">
      <c r="D202" s="1" t="s">
        <v>200</v>
      </c>
      <c r="E202" s="24">
        <v>7.803707E-2</v>
      </c>
    </row>
    <row r="203" spans="4:5">
      <c r="D203" s="1" t="s">
        <v>201</v>
      </c>
      <c r="E203" s="24">
        <v>7.803707E-2</v>
      </c>
    </row>
    <row r="204" spans="4:5">
      <c r="D204" s="1" t="s">
        <v>202</v>
      </c>
      <c r="E204" s="24">
        <v>7.803707E-2</v>
      </c>
    </row>
    <row r="205" spans="4:5">
      <c r="D205" s="1" t="s">
        <v>203</v>
      </c>
      <c r="E205" s="24">
        <v>7.803707E-2</v>
      </c>
    </row>
    <row r="206" spans="4:5">
      <c r="D206" s="1" t="s">
        <v>204</v>
      </c>
      <c r="E206" s="24">
        <v>7.803707E-2</v>
      </c>
    </row>
    <row r="207" spans="4:5">
      <c r="D207" s="1" t="s">
        <v>205</v>
      </c>
      <c r="E207" s="24">
        <v>7.803707E-2</v>
      </c>
    </row>
    <row r="208" spans="4:5">
      <c r="D208" s="1" t="s">
        <v>206</v>
      </c>
      <c r="E208" s="25">
        <v>0.16746150000000001</v>
      </c>
    </row>
    <row r="209" spans="4:5">
      <c r="D209" s="1" t="s">
        <v>207</v>
      </c>
      <c r="E209" s="25">
        <v>-0.35845630000000001</v>
      </c>
    </row>
    <row r="210" spans="4:5">
      <c r="D210" s="1" t="s">
        <v>208</v>
      </c>
      <c r="E210" s="25">
        <v>-0.75584876999999995</v>
      </c>
    </row>
    <row r="211" spans="4:5">
      <c r="D211" s="1" t="s">
        <v>209</v>
      </c>
      <c r="E211" s="25">
        <v>-0.75584876999999995</v>
      </c>
    </row>
    <row r="212" spans="4:5">
      <c r="D212" s="1" t="s">
        <v>210</v>
      </c>
      <c r="E212" s="25">
        <v>-0.75584876999999995</v>
      </c>
    </row>
    <row r="213" spans="4:5">
      <c r="D213" s="1" t="s">
        <v>211</v>
      </c>
      <c r="E213" s="25">
        <v>-0.75584876999999995</v>
      </c>
    </row>
    <row r="214" spans="4:5">
      <c r="D214" s="1" t="s">
        <v>212</v>
      </c>
      <c r="E214" s="25">
        <v>-0.75584876999999995</v>
      </c>
    </row>
    <row r="215" spans="4:5">
      <c r="D215" s="1" t="s">
        <v>213</v>
      </c>
      <c r="E215" s="25">
        <v>-0.75584876999999995</v>
      </c>
    </row>
    <row r="216" spans="4:5">
      <c r="D216" s="1" t="s">
        <v>214</v>
      </c>
      <c r="E216" s="25">
        <v>-0.75584876999999995</v>
      </c>
    </row>
    <row r="217" spans="4:5">
      <c r="D217" s="1" t="s">
        <v>215</v>
      </c>
      <c r="E217" s="25">
        <v>-0.6654217</v>
      </c>
    </row>
    <row r="218" spans="4:5">
      <c r="D218" s="1" t="s">
        <v>216</v>
      </c>
      <c r="E218" s="23">
        <v>-0.26293567000000001</v>
      </c>
    </row>
    <row r="219" spans="4:5">
      <c r="D219" s="1" t="s">
        <v>217</v>
      </c>
      <c r="E219" s="23">
        <v>-2.5769169000000001E-2</v>
      </c>
    </row>
    <row r="220" spans="4:5">
      <c r="D220" s="1" t="s">
        <v>218</v>
      </c>
      <c r="E220" s="23">
        <v>0.14056750000000001</v>
      </c>
    </row>
    <row r="221" spans="4:5">
      <c r="D221" s="1" t="s">
        <v>219</v>
      </c>
      <c r="E221" s="23">
        <v>0.14902496000000001</v>
      </c>
    </row>
    <row r="222" spans="4:5">
      <c r="D222" s="1" t="s">
        <v>220</v>
      </c>
      <c r="E222" s="23">
        <v>0.14902496000000001</v>
      </c>
    </row>
    <row r="223" spans="4:5">
      <c r="D223" s="1" t="s">
        <v>221</v>
      </c>
      <c r="E223" s="23">
        <v>7.803707E-2</v>
      </c>
    </row>
    <row r="224" spans="4:5">
      <c r="D224" s="1" t="s">
        <v>222</v>
      </c>
      <c r="E224" s="23">
        <v>7.803707E-2</v>
      </c>
    </row>
    <row r="225" spans="4:5">
      <c r="D225" s="1" t="s">
        <v>223</v>
      </c>
      <c r="E225" s="23">
        <v>7.803707E-2</v>
      </c>
    </row>
    <row r="226" spans="4:5">
      <c r="D226" s="1" t="s">
        <v>224</v>
      </c>
      <c r="E226" s="24">
        <v>7.803707E-2</v>
      </c>
    </row>
    <row r="227" spans="4:5">
      <c r="D227" s="1" t="s">
        <v>225</v>
      </c>
      <c r="E227" s="24">
        <v>7.803707E-2</v>
      </c>
    </row>
    <row r="228" spans="4:5">
      <c r="D228" s="1" t="s">
        <v>226</v>
      </c>
      <c r="E228" s="24">
        <v>7.803707E-2</v>
      </c>
    </row>
    <row r="229" spans="4:5">
      <c r="D229" s="1" t="s">
        <v>227</v>
      </c>
      <c r="E229" s="24">
        <v>7.803707E-2</v>
      </c>
    </row>
    <row r="230" spans="4:5">
      <c r="D230" s="1" t="s">
        <v>228</v>
      </c>
      <c r="E230" s="24">
        <v>7.803707E-2</v>
      </c>
    </row>
    <row r="231" spans="4:5">
      <c r="D231" s="1" t="s">
        <v>229</v>
      </c>
      <c r="E231" s="23">
        <v>7.803707E-2</v>
      </c>
    </row>
    <row r="232" spans="4:5">
      <c r="D232" s="1" t="s">
        <v>230</v>
      </c>
      <c r="E232" s="25">
        <v>0.16746150000000001</v>
      </c>
    </row>
    <row r="233" spans="4:5">
      <c r="D233" s="1" t="s">
        <v>231</v>
      </c>
      <c r="E233" s="25">
        <v>-0.35845630000000001</v>
      </c>
    </row>
    <row r="234" spans="4:5">
      <c r="D234" s="1" t="s">
        <v>232</v>
      </c>
      <c r="E234" s="25">
        <v>-0.75584876999999995</v>
      </c>
    </row>
    <row r="235" spans="4:5">
      <c r="D235" s="1" t="s">
        <v>233</v>
      </c>
      <c r="E235" s="25">
        <v>-0.75584876999999995</v>
      </c>
    </row>
    <row r="236" spans="4:5">
      <c r="D236" s="1" t="s">
        <v>234</v>
      </c>
      <c r="E236" s="25">
        <v>-0.75584876999999995</v>
      </c>
    </row>
    <row r="237" spans="4:5">
      <c r="D237" s="1" t="s">
        <v>235</v>
      </c>
      <c r="E237" s="25">
        <v>-0.75584876999999995</v>
      </c>
    </row>
    <row r="238" spans="4:5">
      <c r="D238" s="1" t="s">
        <v>236</v>
      </c>
      <c r="E238" s="25">
        <v>-0.75584876999999995</v>
      </c>
    </row>
    <row r="239" spans="4:5">
      <c r="D239" s="1" t="s">
        <v>237</v>
      </c>
      <c r="E239" s="25">
        <v>-0.75584876999999995</v>
      </c>
    </row>
    <row r="240" spans="4:5">
      <c r="D240" s="1" t="s">
        <v>238</v>
      </c>
      <c r="E240" s="25">
        <v>-0.75584876999999995</v>
      </c>
    </row>
    <row r="241" spans="4:5">
      <c r="D241" s="1" t="s">
        <v>239</v>
      </c>
      <c r="E241" s="25">
        <v>-0.6654217</v>
      </c>
    </row>
    <row r="242" spans="4:5">
      <c r="D242" s="1" t="s">
        <v>240</v>
      </c>
      <c r="E242" s="23">
        <v>-0.26293567000000001</v>
      </c>
    </row>
    <row r="243" spans="4:5">
      <c r="D243" s="1" t="s">
        <v>241</v>
      </c>
      <c r="E243" s="23">
        <v>-2.5769169000000001E-2</v>
      </c>
    </row>
    <row r="244" spans="4:5">
      <c r="D244" s="1" t="s">
        <v>242</v>
      </c>
      <c r="E244" s="23">
        <v>0.14056750000000001</v>
      </c>
    </row>
    <row r="245" spans="4:5">
      <c r="D245" s="1" t="s">
        <v>243</v>
      </c>
      <c r="E245" s="23">
        <v>0.14902496000000001</v>
      </c>
    </row>
    <row r="246" spans="4:5">
      <c r="D246" s="1" t="s">
        <v>244</v>
      </c>
      <c r="E246" s="23">
        <v>0.14902496000000001</v>
      </c>
    </row>
    <row r="247" spans="4:5">
      <c r="D247" s="1" t="s">
        <v>245</v>
      </c>
      <c r="E247" s="23">
        <v>7.803707E-2</v>
      </c>
    </row>
    <row r="248" spans="4:5">
      <c r="D248" s="1" t="s">
        <v>246</v>
      </c>
      <c r="E248" s="23">
        <v>7.803707E-2</v>
      </c>
    </row>
    <row r="249" spans="4:5">
      <c r="D249" s="1" t="s">
        <v>247</v>
      </c>
      <c r="E249" s="24">
        <v>7.803707E-2</v>
      </c>
    </row>
    <row r="250" spans="4:5">
      <c r="D250" s="1" t="s">
        <v>248</v>
      </c>
      <c r="E250" s="24">
        <v>7.803707E-2</v>
      </c>
    </row>
    <row r="251" spans="4:5">
      <c r="D251" s="1" t="s">
        <v>249</v>
      </c>
      <c r="E251" s="24">
        <v>7.803707E-2</v>
      </c>
    </row>
    <row r="252" spans="4:5">
      <c r="D252" s="1" t="s">
        <v>250</v>
      </c>
      <c r="E252" s="24">
        <v>7.803707E-2</v>
      </c>
    </row>
    <row r="253" spans="4:5">
      <c r="D253" s="1" t="s">
        <v>251</v>
      </c>
      <c r="E253" s="24">
        <v>7.803707E-2</v>
      </c>
    </row>
    <row r="254" spans="4:5">
      <c r="D254" s="1" t="s">
        <v>252</v>
      </c>
      <c r="E254" s="24">
        <v>7.803707E-2</v>
      </c>
    </row>
    <row r="255" spans="4:5">
      <c r="D255" s="1" t="s">
        <v>253</v>
      </c>
      <c r="E255" s="23">
        <v>7.803707E-2</v>
      </c>
    </row>
    <row r="256" spans="4:5">
      <c r="D256" s="1" t="s">
        <v>254</v>
      </c>
      <c r="E256" s="25">
        <v>0.16746150000000001</v>
      </c>
    </row>
    <row r="257" spans="4:5">
      <c r="D257" s="1" t="s">
        <v>255</v>
      </c>
      <c r="E257" s="25">
        <v>-0.35845630000000001</v>
      </c>
    </row>
    <row r="258" spans="4:5">
      <c r="D258" s="1" t="s">
        <v>256</v>
      </c>
      <c r="E258" s="25">
        <v>-0.75584876999999995</v>
      </c>
    </row>
    <row r="259" spans="4:5">
      <c r="D259" s="1" t="s">
        <v>257</v>
      </c>
      <c r="E259" s="25">
        <v>-0.75584876999999995</v>
      </c>
    </row>
    <row r="260" spans="4:5">
      <c r="D260" s="1" t="s">
        <v>258</v>
      </c>
      <c r="E260" s="25">
        <v>-0.75584876999999995</v>
      </c>
    </row>
    <row r="261" spans="4:5">
      <c r="D261" s="1" t="s">
        <v>259</v>
      </c>
      <c r="E261" s="25">
        <v>-0.75584876999999995</v>
      </c>
    </row>
    <row r="262" spans="4:5">
      <c r="D262" s="1" t="s">
        <v>260</v>
      </c>
      <c r="E262" s="25">
        <v>-0.75584876999999995</v>
      </c>
    </row>
    <row r="263" spans="4:5">
      <c r="D263" s="1" t="s">
        <v>261</v>
      </c>
      <c r="E263" s="25">
        <v>-0.75584876999999995</v>
      </c>
    </row>
    <row r="264" spans="4:5">
      <c r="D264" s="1" t="s">
        <v>262</v>
      </c>
      <c r="E264" s="25">
        <v>-0.75584876999999995</v>
      </c>
    </row>
    <row r="265" spans="4:5">
      <c r="D265" s="1" t="s">
        <v>263</v>
      </c>
      <c r="E265" s="25">
        <v>-0.6654217</v>
      </c>
    </row>
    <row r="266" spans="4:5">
      <c r="D266" s="1" t="s">
        <v>264</v>
      </c>
      <c r="E266" s="23">
        <v>-0.26293567000000001</v>
      </c>
    </row>
    <row r="267" spans="4:5">
      <c r="D267" s="1" t="s">
        <v>265</v>
      </c>
      <c r="E267" s="23">
        <v>-2.5769169000000001E-2</v>
      </c>
    </row>
    <row r="268" spans="4:5">
      <c r="D268" s="1" t="s">
        <v>266</v>
      </c>
      <c r="E268" s="23">
        <v>0.14056750000000001</v>
      </c>
    </row>
    <row r="269" spans="4:5">
      <c r="D269" s="1" t="s">
        <v>267</v>
      </c>
      <c r="E269" s="23">
        <v>0.14902496000000001</v>
      </c>
    </row>
    <row r="270" spans="4:5">
      <c r="D270" s="1" t="s">
        <v>268</v>
      </c>
      <c r="E270" s="23">
        <v>0.14902496000000001</v>
      </c>
    </row>
    <row r="271" spans="4:5">
      <c r="D271" s="1" t="s">
        <v>269</v>
      </c>
      <c r="E271" s="24">
        <v>7.803707E-2</v>
      </c>
    </row>
    <row r="272" spans="4:5">
      <c r="D272" s="1" t="s">
        <v>270</v>
      </c>
      <c r="E272" s="23">
        <v>7.803707E-2</v>
      </c>
    </row>
    <row r="273" spans="4:5">
      <c r="D273" s="1" t="s">
        <v>271</v>
      </c>
      <c r="E273" s="23">
        <v>7.803707E-2</v>
      </c>
    </row>
    <row r="274" spans="4:5">
      <c r="D274" s="1" t="s">
        <v>272</v>
      </c>
      <c r="E274" s="24">
        <v>7.803707E-2</v>
      </c>
    </row>
    <row r="275" spans="4:5">
      <c r="D275" s="1" t="s">
        <v>273</v>
      </c>
      <c r="E275" s="24">
        <v>7.803707E-2</v>
      </c>
    </row>
    <row r="276" spans="4:5">
      <c r="D276" s="1" t="s">
        <v>274</v>
      </c>
      <c r="E276" s="24">
        <v>7.803707E-2</v>
      </c>
    </row>
    <row r="277" spans="4:5">
      <c r="D277" s="1" t="s">
        <v>275</v>
      </c>
      <c r="E277" s="24">
        <v>7.803707E-2</v>
      </c>
    </row>
    <row r="278" spans="4:5">
      <c r="D278" s="1" t="s">
        <v>276</v>
      </c>
      <c r="E278" s="24">
        <v>7.803707E-2</v>
      </c>
    </row>
    <row r="279" spans="4:5">
      <c r="D279" s="1" t="s">
        <v>277</v>
      </c>
      <c r="E279" s="23">
        <v>7.803707E-2</v>
      </c>
    </row>
    <row r="280" spans="4:5">
      <c r="D280" s="1" t="s">
        <v>278</v>
      </c>
      <c r="E280" s="25">
        <v>0.16746150000000001</v>
      </c>
    </row>
    <row r="281" spans="4:5">
      <c r="D281" s="1" t="s">
        <v>279</v>
      </c>
      <c r="E281" s="25">
        <v>-0.35845630000000001</v>
      </c>
    </row>
    <row r="282" spans="4:5">
      <c r="D282" s="1" t="s">
        <v>280</v>
      </c>
      <c r="E282" s="25">
        <v>-0.75584876999999995</v>
      </c>
    </row>
    <row r="283" spans="4:5">
      <c r="D283" s="1" t="s">
        <v>281</v>
      </c>
      <c r="E283" s="25">
        <v>-0.75584876999999995</v>
      </c>
    </row>
    <row r="284" spans="4:5">
      <c r="D284" s="1" t="s">
        <v>282</v>
      </c>
      <c r="E284" s="25">
        <v>-0.75584876999999995</v>
      </c>
    </row>
    <row r="285" spans="4:5">
      <c r="D285" s="1" t="s">
        <v>283</v>
      </c>
      <c r="E285" s="25">
        <v>-0.75584876999999995</v>
      </c>
    </row>
    <row r="286" spans="4:5">
      <c r="D286" s="1" t="s">
        <v>284</v>
      </c>
      <c r="E286" s="25">
        <v>-0.75584876999999995</v>
      </c>
    </row>
    <row r="287" spans="4:5">
      <c r="D287" s="1" t="s">
        <v>285</v>
      </c>
      <c r="E287" s="25">
        <v>-0.75584876999999995</v>
      </c>
    </row>
    <row r="288" spans="4:5">
      <c r="D288" s="1" t="s">
        <v>286</v>
      </c>
      <c r="E288" s="25">
        <v>-0.75584876999999995</v>
      </c>
    </row>
    <row r="289" spans="4:5">
      <c r="D289" s="1" t="s">
        <v>287</v>
      </c>
      <c r="E289" s="25">
        <v>-0.6654217</v>
      </c>
    </row>
    <row r="290" spans="4:5">
      <c r="D290" s="1" t="s">
        <v>288</v>
      </c>
      <c r="E290" s="23">
        <v>-0.26293567000000001</v>
      </c>
    </row>
    <row r="291" spans="4:5">
      <c r="D291" s="1" t="s">
        <v>289</v>
      </c>
      <c r="E291" s="23">
        <v>-2.5769169000000001E-2</v>
      </c>
    </row>
    <row r="292" spans="4:5">
      <c r="D292" s="1" t="s">
        <v>290</v>
      </c>
      <c r="E292" s="23">
        <v>0.14056750000000001</v>
      </c>
    </row>
    <row r="293" spans="4:5">
      <c r="D293" s="1" t="s">
        <v>291</v>
      </c>
      <c r="E293" s="23">
        <v>0.14902496000000001</v>
      </c>
    </row>
    <row r="294" spans="4:5">
      <c r="D294" s="1" t="s">
        <v>292</v>
      </c>
      <c r="E294" s="23">
        <v>0.14902496000000001</v>
      </c>
    </row>
    <row r="295" spans="4:5">
      <c r="D295" s="1" t="s">
        <v>293</v>
      </c>
      <c r="E295" s="24">
        <v>8.427962E-2</v>
      </c>
    </row>
    <row r="296" spans="4:5">
      <c r="D296" s="1" t="s">
        <v>294</v>
      </c>
      <c r="E296" s="23">
        <v>8.427962E-2</v>
      </c>
    </row>
    <row r="297" spans="4:5">
      <c r="D297" s="1" t="s">
        <v>295</v>
      </c>
      <c r="E297" s="23">
        <v>8.427962E-2</v>
      </c>
    </row>
    <row r="298" spans="4:5">
      <c r="D298" s="1" t="s">
        <v>296</v>
      </c>
      <c r="E298" s="24">
        <v>8.427962E-2</v>
      </c>
    </row>
    <row r="299" spans="4:5">
      <c r="D299" s="1" t="s">
        <v>297</v>
      </c>
      <c r="E299" s="24">
        <v>8.427962E-2</v>
      </c>
    </row>
    <row r="300" spans="4:5">
      <c r="D300" s="1" t="s">
        <v>298</v>
      </c>
      <c r="E300" s="24">
        <v>8.427962E-2</v>
      </c>
    </row>
    <row r="301" spans="4:5">
      <c r="D301" s="1" t="s">
        <v>299</v>
      </c>
      <c r="E301" s="24">
        <v>8.427962E-2</v>
      </c>
    </row>
    <row r="302" spans="4:5">
      <c r="D302" s="1" t="s">
        <v>300</v>
      </c>
      <c r="E302" s="24">
        <v>8.427962E-2</v>
      </c>
    </row>
    <row r="303" spans="4:5">
      <c r="D303" s="1" t="s">
        <v>301</v>
      </c>
      <c r="E303" s="23">
        <v>8.427962E-2</v>
      </c>
    </row>
    <row r="304" spans="4:5">
      <c r="D304" s="1" t="s">
        <v>302</v>
      </c>
      <c r="E304" s="25">
        <v>0.17370405999999999</v>
      </c>
    </row>
    <row r="305" spans="4:5">
      <c r="D305" s="1" t="s">
        <v>303</v>
      </c>
      <c r="E305" s="25">
        <v>-0.30057233999999999</v>
      </c>
    </row>
    <row r="306" spans="4:5">
      <c r="D306" s="1" t="s">
        <v>304</v>
      </c>
      <c r="E306" s="25">
        <v>-0.68517519999999998</v>
      </c>
    </row>
    <row r="307" spans="4:5">
      <c r="D307" s="1" t="s">
        <v>305</v>
      </c>
      <c r="E307" s="25">
        <v>-0.68517519999999998</v>
      </c>
    </row>
    <row r="308" spans="4:5">
      <c r="D308" s="1" t="s">
        <v>306</v>
      </c>
      <c r="E308" s="25">
        <v>-0.68517519999999998</v>
      </c>
    </row>
    <row r="309" spans="4:5">
      <c r="D309" s="1" t="s">
        <v>307</v>
      </c>
      <c r="E309" s="25">
        <v>-0.68517519999999998</v>
      </c>
    </row>
    <row r="310" spans="4:5">
      <c r="D310" s="1" t="s">
        <v>308</v>
      </c>
      <c r="E310" s="25">
        <v>-0.68517519999999998</v>
      </c>
    </row>
    <row r="311" spans="4:5">
      <c r="D311" s="1" t="s">
        <v>309</v>
      </c>
      <c r="E311" s="25">
        <v>-0.68517519999999998</v>
      </c>
    </row>
    <row r="312" spans="4:5">
      <c r="D312" s="1" t="s">
        <v>310</v>
      </c>
      <c r="E312" s="25">
        <v>-0.68517519999999998</v>
      </c>
    </row>
    <row r="313" spans="4:5">
      <c r="D313" s="1" t="s">
        <v>311</v>
      </c>
      <c r="E313" s="25">
        <v>-0.5947479</v>
      </c>
    </row>
    <row r="314" spans="4:5">
      <c r="D314" s="1" t="s">
        <v>312</v>
      </c>
      <c r="E314" s="23">
        <v>-0.19226204</v>
      </c>
    </row>
    <row r="315" spans="4:5">
      <c r="D315" s="1" t="s">
        <v>313</v>
      </c>
      <c r="E315" s="23">
        <v>4.4904415000000003E-2</v>
      </c>
    </row>
    <row r="316" spans="4:5">
      <c r="D316" s="1" t="s">
        <v>314</v>
      </c>
      <c r="E316" s="23">
        <v>0.15959973999999999</v>
      </c>
    </row>
    <row r="317" spans="4:5">
      <c r="D317" s="1" t="s">
        <v>315</v>
      </c>
      <c r="E317" s="23">
        <v>0.16805719999999999</v>
      </c>
    </row>
    <row r="318" spans="4:5">
      <c r="D318" s="1" t="s">
        <v>316</v>
      </c>
      <c r="E318" s="23">
        <v>0.16805719999999999</v>
      </c>
    </row>
    <row r="319" spans="4:5">
      <c r="D319" s="1" t="s">
        <v>317</v>
      </c>
      <c r="E319" s="23">
        <v>8.4404519999999997E-2</v>
      </c>
    </row>
    <row r="320" spans="4:5">
      <c r="D320" s="1" t="s">
        <v>318</v>
      </c>
      <c r="E320" s="23">
        <v>8.4404519999999997E-2</v>
      </c>
    </row>
    <row r="321" spans="4:5">
      <c r="D321" s="1" t="s">
        <v>319</v>
      </c>
      <c r="E321" s="24">
        <v>8.4404519999999997E-2</v>
      </c>
    </row>
    <row r="322" spans="4:5">
      <c r="D322" s="1" t="s">
        <v>320</v>
      </c>
      <c r="E322" s="24">
        <v>8.4404519999999997E-2</v>
      </c>
    </row>
    <row r="323" spans="4:5">
      <c r="D323" s="1" t="s">
        <v>321</v>
      </c>
      <c r="E323" s="24">
        <v>8.4404519999999997E-2</v>
      </c>
    </row>
    <row r="324" spans="4:5">
      <c r="D324" s="1" t="s">
        <v>322</v>
      </c>
      <c r="E324" s="24">
        <v>8.4404519999999997E-2</v>
      </c>
    </row>
    <row r="325" spans="4:5">
      <c r="D325" s="1" t="s">
        <v>323</v>
      </c>
      <c r="E325" s="24">
        <v>8.4404519999999997E-2</v>
      </c>
    </row>
    <row r="326" spans="4:5">
      <c r="D326" s="1" t="s">
        <v>324</v>
      </c>
      <c r="E326" s="24">
        <v>8.4404519999999997E-2</v>
      </c>
    </row>
    <row r="327" spans="4:5">
      <c r="D327" s="1" t="s">
        <v>325</v>
      </c>
      <c r="E327" s="23">
        <v>8.4404519999999997E-2</v>
      </c>
    </row>
    <row r="328" spans="4:5">
      <c r="D328" s="1" t="s">
        <v>326</v>
      </c>
      <c r="E328" s="25">
        <v>0.17382896</v>
      </c>
    </row>
    <row r="329" spans="4:5">
      <c r="D329" s="1" t="s">
        <v>327</v>
      </c>
      <c r="E329" s="25">
        <v>-0.21254729</v>
      </c>
    </row>
    <row r="330" spans="4:5">
      <c r="D330" s="1" t="s">
        <v>328</v>
      </c>
      <c r="E330" s="25">
        <v>-0.11253365999999999</v>
      </c>
    </row>
    <row r="331" spans="4:5">
      <c r="D331" s="1" t="s">
        <v>329</v>
      </c>
      <c r="E331" s="23">
        <v>-0.11253365999999999</v>
      </c>
    </row>
    <row r="332" spans="4:5">
      <c r="D332" s="1" t="s">
        <v>330</v>
      </c>
      <c r="E332" s="25">
        <v>-0.11253365999999999</v>
      </c>
    </row>
    <row r="333" spans="4:5">
      <c r="D333" s="1" t="s">
        <v>331</v>
      </c>
      <c r="E333" s="25">
        <v>-0.11253365999999999</v>
      </c>
    </row>
    <row r="334" spans="4:5">
      <c r="D334" s="1" t="s">
        <v>332</v>
      </c>
      <c r="E334" s="25">
        <v>-0.11253365999999999</v>
      </c>
    </row>
    <row r="335" spans="4:5">
      <c r="D335" s="1" t="s">
        <v>333</v>
      </c>
      <c r="E335" s="25">
        <v>-0.11253365999999999</v>
      </c>
    </row>
    <row r="336" spans="4:5">
      <c r="D336" s="1" t="s">
        <v>334</v>
      </c>
      <c r="E336" s="25">
        <v>-0.11253365999999999</v>
      </c>
    </row>
    <row r="337" spans="4:5">
      <c r="D337" s="1" t="s">
        <v>335</v>
      </c>
      <c r="E337" s="25">
        <v>-7.4580610000000006E-2</v>
      </c>
    </row>
    <row r="338" spans="4:5">
      <c r="D338" s="1" t="s">
        <v>336</v>
      </c>
      <c r="E338" s="23">
        <v>0.15714432</v>
      </c>
    </row>
    <row r="339" spans="4:5">
      <c r="D339" s="1" t="s">
        <v>337</v>
      </c>
      <c r="E339" s="23">
        <v>0.124860086</v>
      </c>
    </row>
    <row r="340" spans="4:5">
      <c r="D340" s="1" t="s">
        <v>338</v>
      </c>
      <c r="E340" s="23">
        <v>0.15972464</v>
      </c>
    </row>
    <row r="341" spans="4:5">
      <c r="D341" s="1" t="s">
        <v>339</v>
      </c>
      <c r="E341" s="23">
        <v>0.1681821</v>
      </c>
    </row>
    <row r="342" spans="4:5">
      <c r="D342" s="1" t="s">
        <v>340</v>
      </c>
      <c r="E342" s="23">
        <v>0.1681821</v>
      </c>
    </row>
    <row r="343" spans="4:5">
      <c r="D343" s="1" t="s">
        <v>341</v>
      </c>
      <c r="E343" s="23">
        <v>8.4404519999999997E-2</v>
      </c>
    </row>
    <row r="344" spans="4:5">
      <c r="D344" s="1" t="s">
        <v>342</v>
      </c>
      <c r="E344" s="24">
        <v>8.4404519999999997E-2</v>
      </c>
    </row>
    <row r="345" spans="4:5">
      <c r="D345" s="1" t="s">
        <v>343</v>
      </c>
      <c r="E345" s="23">
        <v>8.4404519999999997E-2</v>
      </c>
    </row>
    <row r="346" spans="4:5">
      <c r="D346" s="1" t="s">
        <v>344</v>
      </c>
      <c r="E346" s="24">
        <v>8.4404519999999997E-2</v>
      </c>
    </row>
    <row r="347" spans="4:5">
      <c r="D347" s="1" t="s">
        <v>345</v>
      </c>
      <c r="E347" s="24">
        <v>8.4404519999999997E-2</v>
      </c>
    </row>
    <row r="348" spans="4:5">
      <c r="D348" s="1" t="s">
        <v>346</v>
      </c>
      <c r="E348" s="24">
        <v>8.4404519999999997E-2</v>
      </c>
    </row>
    <row r="349" spans="4:5">
      <c r="D349" s="1" t="s">
        <v>347</v>
      </c>
      <c r="E349" s="24">
        <v>8.4404519999999997E-2</v>
      </c>
    </row>
    <row r="350" spans="4:5">
      <c r="D350" s="1" t="s">
        <v>348</v>
      </c>
      <c r="E350" s="24">
        <v>8.4404519999999997E-2</v>
      </c>
    </row>
    <row r="351" spans="4:5">
      <c r="D351" s="1" t="s">
        <v>349</v>
      </c>
      <c r="E351" s="23">
        <v>8.4404519999999997E-2</v>
      </c>
    </row>
    <row r="352" spans="4:5">
      <c r="D352" s="1" t="s">
        <v>350</v>
      </c>
      <c r="E352" s="25">
        <v>0.17382896</v>
      </c>
    </row>
    <row r="353" spans="4:5">
      <c r="D353" s="1" t="s">
        <v>351</v>
      </c>
      <c r="E353" s="25">
        <v>-0.21254729</v>
      </c>
    </row>
    <row r="354" spans="4:5">
      <c r="D354" s="1" t="s">
        <v>352</v>
      </c>
      <c r="E354" s="23">
        <v>-0.11253365999999999</v>
      </c>
    </row>
    <row r="355" spans="4:5">
      <c r="D355" s="1" t="s">
        <v>353</v>
      </c>
      <c r="E355" s="23">
        <v>-0.11253365999999999</v>
      </c>
    </row>
    <row r="356" spans="4:5">
      <c r="D356" s="1" t="s">
        <v>354</v>
      </c>
      <c r="E356" s="25">
        <v>-0.11253365999999999</v>
      </c>
    </row>
    <row r="357" spans="4:5">
      <c r="D357" s="1" t="s">
        <v>355</v>
      </c>
      <c r="E357" s="25">
        <v>-0.11253365999999999</v>
      </c>
    </row>
    <row r="358" spans="4:5">
      <c r="D358" s="1" t="s">
        <v>356</v>
      </c>
      <c r="E358" s="25">
        <v>-0.11253365999999999</v>
      </c>
    </row>
    <row r="359" spans="4:5">
      <c r="D359" s="1" t="s">
        <v>357</v>
      </c>
      <c r="E359" s="25">
        <v>-0.11253365999999999</v>
      </c>
    </row>
    <row r="360" spans="4:5">
      <c r="D360" s="1" t="s">
        <v>358</v>
      </c>
      <c r="E360" s="25">
        <v>-0.11253365999999999</v>
      </c>
    </row>
    <row r="361" spans="4:5">
      <c r="D361" s="1" t="s">
        <v>359</v>
      </c>
      <c r="E361" s="25">
        <v>-7.4580610000000006E-2</v>
      </c>
    </row>
    <row r="362" spans="4:5">
      <c r="D362" s="1" t="s">
        <v>360</v>
      </c>
      <c r="E362" s="23">
        <v>0.15714432</v>
      </c>
    </row>
    <row r="363" spans="4:5">
      <c r="D363" s="1" t="s">
        <v>361</v>
      </c>
      <c r="E363" s="23">
        <v>0.124860086</v>
      </c>
    </row>
    <row r="364" spans="4:5">
      <c r="D364" s="1" t="s">
        <v>362</v>
      </c>
      <c r="E364" s="23">
        <v>0.15972464</v>
      </c>
    </row>
    <row r="365" spans="4:5">
      <c r="D365" s="1" t="s">
        <v>363</v>
      </c>
      <c r="E365" s="23">
        <v>0.1681821</v>
      </c>
    </row>
    <row r="366" spans="4:5">
      <c r="D366" s="1" t="s">
        <v>364</v>
      </c>
      <c r="E366" s="23">
        <v>0.1681821</v>
      </c>
    </row>
    <row r="367" spans="4:5">
      <c r="D367" s="1" t="s">
        <v>365</v>
      </c>
      <c r="E367" s="23">
        <v>9.3493569999999998E-2</v>
      </c>
    </row>
    <row r="368" spans="4:5">
      <c r="D368" s="1" t="s">
        <v>366</v>
      </c>
      <c r="E368" s="23">
        <v>9.3493569999999998E-2</v>
      </c>
    </row>
    <row r="369" spans="4:5">
      <c r="D369" s="1" t="s">
        <v>367</v>
      </c>
      <c r="E369" s="24">
        <v>9.3493569999999998E-2</v>
      </c>
    </row>
    <row r="370" spans="4:5">
      <c r="D370" s="1" t="s">
        <v>368</v>
      </c>
      <c r="E370" s="24">
        <v>9.3493569999999998E-2</v>
      </c>
    </row>
    <row r="371" spans="4:5">
      <c r="D371" s="1" t="s">
        <v>369</v>
      </c>
      <c r="E371" s="24">
        <v>9.3493569999999998E-2</v>
      </c>
    </row>
    <row r="372" spans="4:5">
      <c r="D372" s="1" t="s">
        <v>370</v>
      </c>
      <c r="E372" s="24">
        <v>9.3493569999999998E-2</v>
      </c>
    </row>
    <row r="373" spans="4:5">
      <c r="D373" s="1" t="s">
        <v>371</v>
      </c>
      <c r="E373" s="24">
        <v>9.3493569999999998E-2</v>
      </c>
    </row>
    <row r="374" spans="4:5">
      <c r="D374" s="1" t="s">
        <v>372</v>
      </c>
      <c r="E374" s="24">
        <v>9.3493569999999998E-2</v>
      </c>
    </row>
    <row r="375" spans="4:5">
      <c r="D375" s="1" t="s">
        <v>373</v>
      </c>
      <c r="E375" s="23">
        <v>9.3493569999999998E-2</v>
      </c>
    </row>
    <row r="376" spans="4:5">
      <c r="D376" s="1" t="s">
        <v>374</v>
      </c>
      <c r="E376" s="25">
        <v>0.182918</v>
      </c>
    </row>
    <row r="377" spans="4:5">
      <c r="D377" s="1" t="s">
        <v>375</v>
      </c>
      <c r="E377" s="25">
        <v>-0.34299980000000002</v>
      </c>
    </row>
    <row r="378" spans="4:5">
      <c r="D378" s="1" t="s">
        <v>376</v>
      </c>
      <c r="E378" s="25">
        <v>-0.7403923</v>
      </c>
    </row>
    <row r="379" spans="4:5">
      <c r="D379" s="1" t="s">
        <v>377</v>
      </c>
      <c r="E379" s="25">
        <v>-0.7403923</v>
      </c>
    </row>
    <row r="380" spans="4:5">
      <c r="D380" s="1" t="s">
        <v>378</v>
      </c>
      <c r="E380" s="25">
        <v>-0.7403923</v>
      </c>
    </row>
    <row r="381" spans="4:5">
      <c r="D381" s="1" t="s">
        <v>379</v>
      </c>
      <c r="E381" s="25">
        <v>-0.7403923</v>
      </c>
    </row>
    <row r="382" spans="4:5">
      <c r="D382" s="1" t="s">
        <v>380</v>
      </c>
      <c r="E382" s="25">
        <v>-0.7403923</v>
      </c>
    </row>
    <row r="383" spans="4:5">
      <c r="D383" s="1" t="s">
        <v>381</v>
      </c>
      <c r="E383" s="25">
        <v>-0.7403923</v>
      </c>
    </row>
    <row r="384" spans="4:5">
      <c r="D384" s="1" t="s">
        <v>382</v>
      </c>
      <c r="E384" s="25">
        <v>-0.7403923</v>
      </c>
    </row>
    <row r="385" spans="4:5">
      <c r="D385" s="1" t="s">
        <v>383</v>
      </c>
      <c r="E385" s="25">
        <v>-0.64996516999999998</v>
      </c>
    </row>
    <row r="386" spans="4:5">
      <c r="D386" s="1" t="s">
        <v>384</v>
      </c>
      <c r="E386" s="23">
        <v>-0.24747916</v>
      </c>
    </row>
    <row r="387" spans="4:5">
      <c r="D387" s="1" t="s">
        <v>385</v>
      </c>
      <c r="E387" s="23">
        <v>-1.0312666E-2</v>
      </c>
    </row>
    <row r="388" spans="4:5">
      <c r="D388" s="1" t="s">
        <v>386</v>
      </c>
      <c r="E388" s="23">
        <v>0.156024</v>
      </c>
    </row>
    <row r="389" spans="4:5">
      <c r="D389" s="1" t="s">
        <v>387</v>
      </c>
      <c r="E389" s="23">
        <v>0.16448146</v>
      </c>
    </row>
    <row r="390" spans="4:5">
      <c r="D390" s="1" t="s">
        <v>388</v>
      </c>
      <c r="E390" s="23">
        <v>0.16448146</v>
      </c>
    </row>
    <row r="391" spans="4:5">
      <c r="D391" s="1" t="s">
        <v>389</v>
      </c>
      <c r="E391" s="23">
        <v>9.3493569999999998E-2</v>
      </c>
    </row>
    <row r="392" spans="4:5">
      <c r="D392" s="1" t="s">
        <v>390</v>
      </c>
      <c r="E392" s="23">
        <v>9.3493569999999998E-2</v>
      </c>
    </row>
    <row r="393" spans="4:5">
      <c r="D393" s="1" t="s">
        <v>391</v>
      </c>
      <c r="E393" s="23">
        <v>9.3493569999999998E-2</v>
      </c>
    </row>
    <row r="394" spans="4:5">
      <c r="D394" s="1" t="s">
        <v>392</v>
      </c>
      <c r="E394" s="24">
        <v>9.3493569999999998E-2</v>
      </c>
    </row>
    <row r="395" spans="4:5">
      <c r="D395" s="1" t="s">
        <v>393</v>
      </c>
      <c r="E395" s="24">
        <v>9.3493569999999998E-2</v>
      </c>
    </row>
    <row r="396" spans="4:5">
      <c r="D396" s="1" t="s">
        <v>394</v>
      </c>
      <c r="E396" s="24">
        <v>9.3493569999999998E-2</v>
      </c>
    </row>
    <row r="397" spans="4:5">
      <c r="D397" s="1" t="s">
        <v>395</v>
      </c>
      <c r="E397" s="24">
        <v>9.3493569999999998E-2</v>
      </c>
    </row>
    <row r="398" spans="4:5">
      <c r="D398" s="1" t="s">
        <v>396</v>
      </c>
      <c r="E398" s="24">
        <v>9.3493569999999998E-2</v>
      </c>
    </row>
    <row r="399" spans="4:5">
      <c r="D399" s="1" t="s">
        <v>397</v>
      </c>
      <c r="E399" s="23">
        <v>9.3493569999999998E-2</v>
      </c>
    </row>
    <row r="400" spans="4:5">
      <c r="D400" s="1" t="s">
        <v>398</v>
      </c>
      <c r="E400" s="25">
        <v>0.182918</v>
      </c>
    </row>
    <row r="401" spans="4:5">
      <c r="D401" s="1" t="s">
        <v>399</v>
      </c>
      <c r="E401" s="25">
        <v>-0.34299980000000002</v>
      </c>
    </row>
    <row r="402" spans="4:5">
      <c r="D402" s="1" t="s">
        <v>400</v>
      </c>
      <c r="E402" s="25">
        <v>-0.7403923</v>
      </c>
    </row>
    <row r="403" spans="4:5">
      <c r="D403" s="1" t="s">
        <v>401</v>
      </c>
      <c r="E403" s="25">
        <v>-0.7403923</v>
      </c>
    </row>
    <row r="404" spans="4:5">
      <c r="D404" s="1" t="s">
        <v>402</v>
      </c>
      <c r="E404" s="25">
        <v>-0.7403923</v>
      </c>
    </row>
    <row r="405" spans="4:5">
      <c r="D405" s="1" t="s">
        <v>403</v>
      </c>
      <c r="E405" s="25">
        <v>-0.7403923</v>
      </c>
    </row>
    <row r="406" spans="4:5">
      <c r="D406" s="1" t="s">
        <v>404</v>
      </c>
      <c r="E406" s="25">
        <v>-0.7403923</v>
      </c>
    </row>
    <row r="407" spans="4:5">
      <c r="D407" s="1" t="s">
        <v>405</v>
      </c>
      <c r="E407" s="25">
        <v>-0.7403923</v>
      </c>
    </row>
    <row r="408" spans="4:5">
      <c r="D408" s="1" t="s">
        <v>406</v>
      </c>
      <c r="E408" s="25">
        <v>-0.7403923</v>
      </c>
    </row>
    <row r="409" spans="4:5">
      <c r="D409" s="1" t="s">
        <v>407</v>
      </c>
      <c r="E409" s="25">
        <v>-0.64996516999999998</v>
      </c>
    </row>
    <row r="410" spans="4:5">
      <c r="D410" s="1" t="s">
        <v>408</v>
      </c>
      <c r="E410" s="23">
        <v>-0.24747916</v>
      </c>
    </row>
    <row r="411" spans="4:5">
      <c r="D411" s="1" t="s">
        <v>409</v>
      </c>
      <c r="E411" s="23">
        <v>-1.0312666E-2</v>
      </c>
    </row>
    <row r="412" spans="4:5">
      <c r="D412" s="1" t="s">
        <v>410</v>
      </c>
      <c r="E412" s="23">
        <v>0.156024</v>
      </c>
    </row>
    <row r="413" spans="4:5">
      <c r="D413" s="1" t="s">
        <v>411</v>
      </c>
      <c r="E413" s="23">
        <v>0.16448146</v>
      </c>
    </row>
    <row r="414" spans="4:5">
      <c r="D414" s="1" t="s">
        <v>412</v>
      </c>
      <c r="E414" s="23">
        <v>0.16448146</v>
      </c>
    </row>
    <row r="415" spans="4:5">
      <c r="D415" s="1" t="s">
        <v>413</v>
      </c>
      <c r="E415" s="23">
        <v>9.3493569999999998E-2</v>
      </c>
    </row>
    <row r="416" spans="4:5">
      <c r="D416" s="1" t="s">
        <v>414</v>
      </c>
      <c r="E416" s="23">
        <v>9.3493569999999998E-2</v>
      </c>
    </row>
    <row r="417" spans="4:5">
      <c r="D417" s="1" t="s">
        <v>415</v>
      </c>
      <c r="E417" s="23">
        <v>9.3493569999999998E-2</v>
      </c>
    </row>
    <row r="418" spans="4:5">
      <c r="D418" s="1" t="s">
        <v>416</v>
      </c>
      <c r="E418" s="24">
        <v>9.3493569999999998E-2</v>
      </c>
    </row>
    <row r="419" spans="4:5">
      <c r="D419" s="1" t="s">
        <v>417</v>
      </c>
      <c r="E419" s="24">
        <v>9.3493569999999998E-2</v>
      </c>
    </row>
    <row r="420" spans="4:5">
      <c r="D420" s="1" t="s">
        <v>418</v>
      </c>
      <c r="E420" s="24">
        <v>9.3493569999999998E-2</v>
      </c>
    </row>
    <row r="421" spans="4:5">
      <c r="D421" s="1" t="s">
        <v>419</v>
      </c>
      <c r="E421" s="24">
        <v>9.3493569999999998E-2</v>
      </c>
    </row>
    <row r="422" spans="4:5">
      <c r="D422" s="1" t="s">
        <v>420</v>
      </c>
      <c r="E422" s="24">
        <v>9.3493569999999998E-2</v>
      </c>
    </row>
    <row r="423" spans="4:5">
      <c r="D423" s="1" t="s">
        <v>421</v>
      </c>
      <c r="E423" s="23">
        <v>9.3493569999999998E-2</v>
      </c>
    </row>
    <row r="424" spans="4:5">
      <c r="D424" s="1" t="s">
        <v>422</v>
      </c>
      <c r="E424" s="25">
        <v>0.182918</v>
      </c>
    </row>
    <row r="425" spans="4:5">
      <c r="D425" s="1" t="s">
        <v>423</v>
      </c>
      <c r="E425" s="25">
        <v>-0.34299980000000002</v>
      </c>
    </row>
    <row r="426" spans="4:5">
      <c r="D426" s="1" t="s">
        <v>424</v>
      </c>
      <c r="E426" s="25">
        <v>-0.7403923</v>
      </c>
    </row>
    <row r="427" spans="4:5">
      <c r="D427" s="1" t="s">
        <v>425</v>
      </c>
      <c r="E427" s="25">
        <v>-0.7403923</v>
      </c>
    </row>
    <row r="428" spans="4:5">
      <c r="D428" s="1" t="s">
        <v>426</v>
      </c>
      <c r="E428" s="25">
        <v>-0.7403923</v>
      </c>
    </row>
    <row r="429" spans="4:5">
      <c r="D429" s="1" t="s">
        <v>427</v>
      </c>
      <c r="E429" s="25">
        <v>-0.7403923</v>
      </c>
    </row>
    <row r="430" spans="4:5">
      <c r="D430" s="1" t="s">
        <v>428</v>
      </c>
      <c r="E430" s="25">
        <v>-0.7403923</v>
      </c>
    </row>
    <row r="431" spans="4:5">
      <c r="D431" s="1" t="s">
        <v>429</v>
      </c>
      <c r="E431" s="25">
        <v>-0.7403923</v>
      </c>
    </row>
    <row r="432" spans="4:5">
      <c r="D432" s="1" t="s">
        <v>430</v>
      </c>
      <c r="E432" s="25">
        <v>-0.7403923</v>
      </c>
    </row>
    <row r="433" spans="4:5">
      <c r="D433" s="1" t="s">
        <v>431</v>
      </c>
      <c r="E433" s="25">
        <v>-0.64996516999999998</v>
      </c>
    </row>
    <row r="434" spans="4:5">
      <c r="D434" s="1" t="s">
        <v>432</v>
      </c>
      <c r="E434" s="23">
        <v>-0.24747916</v>
      </c>
    </row>
    <row r="435" spans="4:5">
      <c r="D435" s="1" t="s">
        <v>433</v>
      </c>
      <c r="E435" s="23">
        <v>-1.0312666E-2</v>
      </c>
    </row>
    <row r="436" spans="4:5">
      <c r="D436" s="1" t="s">
        <v>434</v>
      </c>
      <c r="E436" s="23">
        <v>0.156024</v>
      </c>
    </row>
    <row r="437" spans="4:5">
      <c r="D437" s="1" t="s">
        <v>435</v>
      </c>
      <c r="E437" s="23">
        <v>0.16448146</v>
      </c>
    </row>
    <row r="438" spans="4:5">
      <c r="D438" s="1" t="s">
        <v>436</v>
      </c>
      <c r="E438" s="23">
        <v>0.16448146</v>
      </c>
    </row>
    <row r="439" spans="4:5">
      <c r="D439" s="1" t="s">
        <v>437</v>
      </c>
      <c r="E439" s="24">
        <v>9.3493569999999998E-2</v>
      </c>
    </row>
    <row r="440" spans="4:5">
      <c r="D440" s="1" t="s">
        <v>438</v>
      </c>
      <c r="E440" s="24">
        <v>9.3493569999999998E-2</v>
      </c>
    </row>
    <row r="441" spans="4:5">
      <c r="D441" s="1" t="s">
        <v>439</v>
      </c>
      <c r="E441" s="24">
        <v>9.3493569999999998E-2</v>
      </c>
    </row>
    <row r="442" spans="4:5">
      <c r="D442" s="1" t="s">
        <v>440</v>
      </c>
      <c r="E442" s="24">
        <v>9.3493569999999998E-2</v>
      </c>
    </row>
    <row r="443" spans="4:5">
      <c r="D443" s="1" t="s">
        <v>441</v>
      </c>
      <c r="E443" s="24">
        <v>9.3493569999999998E-2</v>
      </c>
    </row>
    <row r="444" spans="4:5">
      <c r="D444" s="1" t="s">
        <v>442</v>
      </c>
      <c r="E444" s="24">
        <v>9.3493569999999998E-2</v>
      </c>
    </row>
    <row r="445" spans="4:5">
      <c r="D445" s="1" t="s">
        <v>443</v>
      </c>
      <c r="E445" s="24">
        <v>9.3493569999999998E-2</v>
      </c>
    </row>
    <row r="446" spans="4:5">
      <c r="D446" s="1" t="s">
        <v>444</v>
      </c>
      <c r="E446" s="24">
        <v>9.3493569999999998E-2</v>
      </c>
    </row>
    <row r="447" spans="4:5">
      <c r="D447" s="1" t="s">
        <v>445</v>
      </c>
      <c r="E447" s="23">
        <v>9.3493569999999998E-2</v>
      </c>
    </row>
    <row r="448" spans="4:5">
      <c r="D448" s="1" t="s">
        <v>446</v>
      </c>
      <c r="E448" s="25">
        <v>0.182918</v>
      </c>
    </row>
    <row r="449" spans="4:5">
      <c r="D449" s="1" t="s">
        <v>447</v>
      </c>
      <c r="E449" s="25">
        <v>-0.34299980000000002</v>
      </c>
    </row>
    <row r="450" spans="4:5">
      <c r="D450" s="1" t="s">
        <v>448</v>
      </c>
      <c r="E450" s="23">
        <v>-0.7403923</v>
      </c>
    </row>
    <row r="451" spans="4:5">
      <c r="D451" s="1" t="s">
        <v>449</v>
      </c>
      <c r="E451" s="25">
        <v>-0.7403923</v>
      </c>
    </row>
    <row r="452" spans="4:5">
      <c r="D452" s="1" t="s">
        <v>450</v>
      </c>
      <c r="E452" s="25">
        <v>-0.7403923</v>
      </c>
    </row>
    <row r="453" spans="4:5">
      <c r="D453" s="1" t="s">
        <v>451</v>
      </c>
      <c r="E453" s="23">
        <v>-0.7403923</v>
      </c>
    </row>
    <row r="454" spans="4:5">
      <c r="D454" s="1" t="s">
        <v>452</v>
      </c>
      <c r="E454" s="25">
        <v>-0.7403923</v>
      </c>
    </row>
    <row r="455" spans="4:5">
      <c r="D455" s="1" t="s">
        <v>453</v>
      </c>
      <c r="E455" s="25">
        <v>-0.7403923</v>
      </c>
    </row>
    <row r="456" spans="4:5">
      <c r="D456" s="1" t="s">
        <v>454</v>
      </c>
      <c r="E456" s="25">
        <v>-0.7403923</v>
      </c>
    </row>
    <row r="457" spans="4:5">
      <c r="D457" s="1" t="s">
        <v>455</v>
      </c>
      <c r="E457" s="25">
        <v>-0.64996516999999998</v>
      </c>
    </row>
    <row r="458" spans="4:5">
      <c r="D458" s="1" t="s">
        <v>456</v>
      </c>
      <c r="E458" s="23">
        <v>-0.24747916</v>
      </c>
    </row>
    <row r="459" spans="4:5">
      <c r="D459" s="1" t="s">
        <v>457</v>
      </c>
      <c r="E459" s="23">
        <v>-1.0312666E-2</v>
      </c>
    </row>
    <row r="460" spans="4:5">
      <c r="D460" s="1" t="s">
        <v>458</v>
      </c>
      <c r="E460" s="23">
        <v>0.156024</v>
      </c>
    </row>
    <row r="461" spans="4:5">
      <c r="D461" s="1" t="s">
        <v>459</v>
      </c>
      <c r="E461" s="23">
        <v>0.16448146</v>
      </c>
    </row>
    <row r="462" spans="4:5">
      <c r="D462" s="1" t="s">
        <v>460</v>
      </c>
      <c r="E462" s="23">
        <v>0.16448146</v>
      </c>
    </row>
    <row r="463" spans="4:5">
      <c r="D463" s="1" t="s">
        <v>461</v>
      </c>
      <c r="E463" s="23">
        <v>0.10339576</v>
      </c>
    </row>
    <row r="464" spans="4:5">
      <c r="D464" s="1" t="s">
        <v>462</v>
      </c>
      <c r="E464" s="24">
        <v>0.10339576</v>
      </c>
    </row>
    <row r="465" spans="4:5">
      <c r="D465" s="1" t="s">
        <v>463</v>
      </c>
      <c r="E465" s="23">
        <v>0.10339576</v>
      </c>
    </row>
    <row r="466" spans="4:5">
      <c r="D466" s="1" t="s">
        <v>464</v>
      </c>
      <c r="E466" s="24">
        <v>0.10339576</v>
      </c>
    </row>
    <row r="467" spans="4:5">
      <c r="D467" s="1" t="s">
        <v>465</v>
      </c>
      <c r="E467" s="24">
        <v>0.10339576</v>
      </c>
    </row>
    <row r="468" spans="4:5">
      <c r="D468" s="1" t="s">
        <v>466</v>
      </c>
      <c r="E468" s="24">
        <v>0.10339576</v>
      </c>
    </row>
    <row r="469" spans="4:5">
      <c r="D469" s="1" t="s">
        <v>467</v>
      </c>
      <c r="E469" s="24">
        <v>0.10339576</v>
      </c>
    </row>
    <row r="470" spans="4:5">
      <c r="D470" s="1" t="s">
        <v>468</v>
      </c>
      <c r="E470" s="24">
        <v>0.10339576</v>
      </c>
    </row>
    <row r="471" spans="4:5">
      <c r="D471" s="1" t="s">
        <v>469</v>
      </c>
      <c r="E471" s="23">
        <v>0.10339576</v>
      </c>
    </row>
    <row r="472" spans="4:5">
      <c r="D472" s="1" t="s">
        <v>470</v>
      </c>
      <c r="E472" s="25">
        <v>0.19282019</v>
      </c>
    </row>
    <row r="473" spans="4:5">
      <c r="D473" s="1" t="s">
        <v>471</v>
      </c>
      <c r="E473" s="25">
        <v>-0.28145619999999999</v>
      </c>
    </row>
    <row r="474" spans="4:5">
      <c r="D474" s="1" t="s">
        <v>472</v>
      </c>
      <c r="E474" s="23">
        <v>-0.66605899999999996</v>
      </c>
    </row>
    <row r="475" spans="4:5">
      <c r="D475" s="1" t="s">
        <v>473</v>
      </c>
      <c r="E475" s="25">
        <v>-0.66605899999999996</v>
      </c>
    </row>
    <row r="476" spans="4:5">
      <c r="D476" s="1" t="s">
        <v>474</v>
      </c>
      <c r="E476" s="25">
        <v>-0.66605899999999996</v>
      </c>
    </row>
    <row r="477" spans="4:5">
      <c r="D477" s="1" t="s">
        <v>475</v>
      </c>
      <c r="E477" s="25">
        <v>-0.66605899999999996</v>
      </c>
    </row>
    <row r="478" spans="4:5">
      <c r="D478" s="1" t="s">
        <v>476</v>
      </c>
      <c r="E478" s="25">
        <v>-0.66605899999999996</v>
      </c>
    </row>
    <row r="479" spans="4:5">
      <c r="D479" s="1" t="s">
        <v>477</v>
      </c>
      <c r="E479" s="25">
        <v>-0.66605899999999996</v>
      </c>
    </row>
    <row r="480" spans="4:5">
      <c r="D480" s="1" t="s">
        <v>478</v>
      </c>
      <c r="E480" s="25">
        <v>-0.66605899999999996</v>
      </c>
    </row>
    <row r="481" spans="4:5">
      <c r="D481" s="1" t="s">
        <v>479</v>
      </c>
      <c r="E481" s="23">
        <v>-0.57563186</v>
      </c>
    </row>
    <row r="482" spans="4:5">
      <c r="D482" s="1" t="s">
        <v>480</v>
      </c>
      <c r="E482" s="23">
        <v>-0.17314589999999999</v>
      </c>
    </row>
    <row r="483" spans="4:5">
      <c r="D483" s="1" t="s">
        <v>481</v>
      </c>
      <c r="E483" s="23">
        <v>6.4020543999999999E-2</v>
      </c>
    </row>
    <row r="484" spans="4:5">
      <c r="D484" s="1" t="s">
        <v>482</v>
      </c>
      <c r="E484" s="23">
        <v>0.17871587</v>
      </c>
    </row>
    <row r="485" spans="4:5">
      <c r="D485" s="1" t="s">
        <v>483</v>
      </c>
      <c r="E485" s="23">
        <v>0.18717333999999999</v>
      </c>
    </row>
    <row r="486" spans="4:5">
      <c r="D486" s="1" t="s">
        <v>484</v>
      </c>
      <c r="E486" s="23">
        <v>0.18717333999999999</v>
      </c>
    </row>
    <row r="487" spans="4:5">
      <c r="D487" s="1" t="s">
        <v>485</v>
      </c>
      <c r="E487" s="23">
        <v>0.10352066</v>
      </c>
    </row>
    <row r="488" spans="4:5">
      <c r="D488" s="1" t="s">
        <v>486</v>
      </c>
      <c r="E488" s="24">
        <v>0.10352066</v>
      </c>
    </row>
    <row r="489" spans="4:5">
      <c r="D489" s="1" t="s">
        <v>487</v>
      </c>
      <c r="E489" s="23">
        <v>0.10352066</v>
      </c>
    </row>
    <row r="490" spans="4:5">
      <c r="D490" s="1" t="s">
        <v>488</v>
      </c>
      <c r="E490" s="24">
        <v>0.10352066</v>
      </c>
    </row>
    <row r="491" spans="4:5">
      <c r="D491" s="1" t="s">
        <v>489</v>
      </c>
      <c r="E491" s="24">
        <v>0.10352066</v>
      </c>
    </row>
    <row r="492" spans="4:5">
      <c r="D492" s="1" t="s">
        <v>490</v>
      </c>
      <c r="E492" s="24">
        <v>0.10352066</v>
      </c>
    </row>
    <row r="493" spans="4:5">
      <c r="D493" s="1" t="s">
        <v>491</v>
      </c>
      <c r="E493" s="24">
        <v>0.10352066</v>
      </c>
    </row>
    <row r="494" spans="4:5">
      <c r="D494" s="1" t="s">
        <v>492</v>
      </c>
      <c r="E494" s="24">
        <v>0.10352066</v>
      </c>
    </row>
    <row r="495" spans="4:5">
      <c r="D495" s="1" t="s">
        <v>493</v>
      </c>
      <c r="E495" s="23">
        <v>0.10352066</v>
      </c>
    </row>
    <row r="496" spans="4:5">
      <c r="D496" s="1" t="s">
        <v>494</v>
      </c>
      <c r="E496" s="23">
        <v>0.19294510000000001</v>
      </c>
    </row>
    <row r="497" spans="4:5">
      <c r="D497" s="1" t="s">
        <v>495</v>
      </c>
      <c r="E497" s="23">
        <v>-0.19343117000000001</v>
      </c>
    </row>
    <row r="498" spans="4:5">
      <c r="D498" s="1" t="s">
        <v>496</v>
      </c>
      <c r="E498" s="25">
        <v>-9.3417525000000001E-2</v>
      </c>
    </row>
    <row r="499" spans="4:5">
      <c r="D499" s="1" t="s">
        <v>497</v>
      </c>
      <c r="E499" s="25">
        <v>-9.3417525000000001E-2</v>
      </c>
    </row>
    <row r="500" spans="4:5">
      <c r="D500" s="1" t="s">
        <v>498</v>
      </c>
      <c r="E500" s="25">
        <v>-9.3417525000000001E-2</v>
      </c>
    </row>
    <row r="501" spans="4:5">
      <c r="D501" s="1" t="s">
        <v>499</v>
      </c>
      <c r="E501" s="23">
        <v>-9.3417525000000001E-2</v>
      </c>
    </row>
    <row r="502" spans="4:5">
      <c r="D502" s="1" t="s">
        <v>500</v>
      </c>
      <c r="E502" s="25">
        <v>-9.3417525000000001E-2</v>
      </c>
    </row>
    <row r="503" spans="4:5">
      <c r="D503" s="1" t="s">
        <v>501</v>
      </c>
      <c r="E503" s="25">
        <v>-9.3417525000000001E-2</v>
      </c>
    </row>
    <row r="504" spans="4:5">
      <c r="D504" s="1" t="s">
        <v>502</v>
      </c>
      <c r="E504" s="25">
        <v>-9.3417525000000001E-2</v>
      </c>
    </row>
    <row r="505" spans="4:5">
      <c r="D505" s="1" t="s">
        <v>503</v>
      </c>
      <c r="E505" s="23">
        <v>-5.5464479999999997E-2</v>
      </c>
    </row>
    <row r="506" spans="4:5">
      <c r="D506" s="1" t="s">
        <v>504</v>
      </c>
      <c r="E506" s="23">
        <v>0.17626043999999999</v>
      </c>
    </row>
    <row r="507" spans="4:5">
      <c r="D507" s="1" t="s">
        <v>505</v>
      </c>
      <c r="E507" s="23">
        <v>0.14397620999999999</v>
      </c>
    </row>
    <row r="508" spans="4:5">
      <c r="D508" s="1" t="s">
        <v>506</v>
      </c>
      <c r="E508" s="23">
        <v>0.17884077000000001</v>
      </c>
    </row>
    <row r="509" spans="4:5">
      <c r="D509" s="1" t="s">
        <v>507</v>
      </c>
      <c r="E509" s="23">
        <v>0.18729824</v>
      </c>
    </row>
    <row r="510" spans="4:5">
      <c r="D510" s="1" t="s">
        <v>508</v>
      </c>
      <c r="E510" s="23">
        <v>0.18729824</v>
      </c>
    </row>
    <row r="511" spans="4:5">
      <c r="D511" s="1" t="s">
        <v>509</v>
      </c>
      <c r="E511" s="24">
        <v>0.10352066</v>
      </c>
    </row>
    <row r="512" spans="4:5">
      <c r="D512" s="1" t="s">
        <v>510</v>
      </c>
      <c r="E512" s="24">
        <v>0.10352066</v>
      </c>
    </row>
    <row r="513" spans="4:5">
      <c r="D513" s="1" t="s">
        <v>511</v>
      </c>
      <c r="E513" s="24">
        <v>0.10352066</v>
      </c>
    </row>
    <row r="514" spans="4:5">
      <c r="D514" s="1" t="s">
        <v>512</v>
      </c>
      <c r="E514" s="24">
        <v>0.10352066</v>
      </c>
    </row>
    <row r="515" spans="4:5">
      <c r="D515" s="1" t="s">
        <v>513</v>
      </c>
      <c r="E515" s="24">
        <v>0.10352066</v>
      </c>
    </row>
    <row r="516" spans="4:5">
      <c r="D516" s="1" t="s">
        <v>514</v>
      </c>
      <c r="E516" s="24">
        <v>0.10352066</v>
      </c>
    </row>
    <row r="517" spans="4:5">
      <c r="D517" s="1" t="s">
        <v>515</v>
      </c>
      <c r="E517" s="24">
        <v>0.10352066</v>
      </c>
    </row>
    <row r="518" spans="4:5">
      <c r="D518" s="1" t="s">
        <v>516</v>
      </c>
      <c r="E518" s="24">
        <v>0.10352066</v>
      </c>
    </row>
    <row r="519" spans="4:5">
      <c r="D519" s="1" t="s">
        <v>517</v>
      </c>
      <c r="E519" s="23">
        <v>0.10352066</v>
      </c>
    </row>
    <row r="520" spans="4:5">
      <c r="D520" s="1" t="s">
        <v>518</v>
      </c>
      <c r="E520" s="25">
        <v>0.19294510000000001</v>
      </c>
    </row>
    <row r="521" spans="4:5">
      <c r="D521" s="1" t="s">
        <v>519</v>
      </c>
      <c r="E521" s="25">
        <v>-0.19343117000000001</v>
      </c>
    </row>
    <row r="522" spans="4:5">
      <c r="D522" s="1" t="s">
        <v>520</v>
      </c>
      <c r="E522" s="23">
        <v>-9.3417525000000001E-2</v>
      </c>
    </row>
    <row r="523" spans="4:5">
      <c r="D523" s="1" t="s">
        <v>521</v>
      </c>
      <c r="E523" s="23">
        <v>-9.3417525000000001E-2</v>
      </c>
    </row>
    <row r="524" spans="4:5">
      <c r="D524" s="1" t="s">
        <v>522</v>
      </c>
      <c r="E524" s="25">
        <v>-9.3417525000000001E-2</v>
      </c>
    </row>
    <row r="525" spans="4:5">
      <c r="D525" s="1" t="s">
        <v>523</v>
      </c>
      <c r="E525" s="25">
        <v>-9.3417525000000001E-2</v>
      </c>
    </row>
    <row r="526" spans="4:5">
      <c r="D526" s="1" t="s">
        <v>524</v>
      </c>
      <c r="E526" s="25">
        <v>-9.3417525000000001E-2</v>
      </c>
    </row>
    <row r="527" spans="4:5">
      <c r="D527" s="1" t="s">
        <v>525</v>
      </c>
      <c r="E527" s="25">
        <v>-9.3417525000000001E-2</v>
      </c>
    </row>
    <row r="528" spans="4:5">
      <c r="D528" s="1" t="s">
        <v>526</v>
      </c>
      <c r="E528" s="25">
        <v>-9.3417525000000001E-2</v>
      </c>
    </row>
    <row r="529" spans="4:5">
      <c r="D529" s="1" t="s">
        <v>527</v>
      </c>
      <c r="E529" s="23">
        <v>-5.5464479999999997E-2</v>
      </c>
    </row>
    <row r="530" spans="4:5">
      <c r="D530" s="1" t="s">
        <v>528</v>
      </c>
      <c r="E530" s="23">
        <v>0.17626043999999999</v>
      </c>
    </row>
    <row r="531" spans="4:5">
      <c r="D531" s="1" t="s">
        <v>529</v>
      </c>
      <c r="E531" s="23">
        <v>0.14397620999999999</v>
      </c>
    </row>
    <row r="532" spans="4:5">
      <c r="D532" s="1" t="s">
        <v>530</v>
      </c>
      <c r="E532" s="23">
        <v>0.17884077000000001</v>
      </c>
    </row>
    <row r="533" spans="4:5">
      <c r="D533" s="1" t="s">
        <v>531</v>
      </c>
      <c r="E533" s="23">
        <v>0.18729824</v>
      </c>
    </row>
    <row r="534" spans="4:5">
      <c r="D534" s="1" t="s">
        <v>532</v>
      </c>
      <c r="E534" s="23">
        <v>0.18729824</v>
      </c>
    </row>
    <row r="535" spans="4:5">
      <c r="D535" s="1" t="s">
        <v>533</v>
      </c>
      <c r="E535" s="24">
        <v>9.7153210000000004E-2</v>
      </c>
    </row>
    <row r="536" spans="4:5">
      <c r="D536" s="1" t="s">
        <v>534</v>
      </c>
      <c r="E536" s="24">
        <v>9.7153210000000004E-2</v>
      </c>
    </row>
    <row r="537" spans="4:5">
      <c r="D537" s="1" t="s">
        <v>535</v>
      </c>
      <c r="E537" s="24">
        <v>9.7153210000000004E-2</v>
      </c>
    </row>
    <row r="538" spans="4:5">
      <c r="D538" s="1" t="s">
        <v>536</v>
      </c>
      <c r="E538" s="24">
        <v>9.7153210000000004E-2</v>
      </c>
    </row>
    <row r="539" spans="4:5">
      <c r="D539" s="1" t="s">
        <v>537</v>
      </c>
      <c r="E539" s="24">
        <v>9.7153210000000004E-2</v>
      </c>
    </row>
    <row r="540" spans="4:5">
      <c r="D540" s="1" t="s">
        <v>538</v>
      </c>
      <c r="E540" s="24">
        <v>9.7153210000000004E-2</v>
      </c>
    </row>
    <row r="541" spans="4:5">
      <c r="D541" s="1" t="s">
        <v>539</v>
      </c>
      <c r="E541" s="24">
        <v>9.7153210000000004E-2</v>
      </c>
    </row>
    <row r="542" spans="4:5">
      <c r="D542" s="1" t="s">
        <v>540</v>
      </c>
      <c r="E542" s="24">
        <v>9.7153210000000004E-2</v>
      </c>
    </row>
    <row r="543" spans="4:5">
      <c r="D543" s="1" t="s">
        <v>541</v>
      </c>
      <c r="E543" s="23">
        <v>9.7153210000000004E-2</v>
      </c>
    </row>
    <row r="544" spans="4:5">
      <c r="D544" s="1" t="s">
        <v>542</v>
      </c>
      <c r="E544" s="25">
        <v>0.18657762999999999</v>
      </c>
    </row>
    <row r="545" spans="4:5">
      <c r="D545" s="1" t="s">
        <v>543</v>
      </c>
      <c r="E545" s="25">
        <v>-0.33934017999999999</v>
      </c>
    </row>
    <row r="546" spans="4:5">
      <c r="D546" s="1" t="s">
        <v>544</v>
      </c>
      <c r="E546" s="25">
        <v>-0.73673259999999996</v>
      </c>
    </row>
    <row r="547" spans="4:5">
      <c r="D547" s="1" t="s">
        <v>545</v>
      </c>
      <c r="E547" s="25">
        <v>-0.73673259999999996</v>
      </c>
    </row>
    <row r="548" spans="4:5">
      <c r="D548" s="1" t="s">
        <v>546</v>
      </c>
      <c r="E548" s="25">
        <v>-0.73673259999999996</v>
      </c>
    </row>
    <row r="549" spans="4:5">
      <c r="D549" s="1" t="s">
        <v>547</v>
      </c>
      <c r="E549" s="25">
        <v>-0.73673259999999996</v>
      </c>
    </row>
    <row r="550" spans="4:5">
      <c r="D550" s="1" t="s">
        <v>548</v>
      </c>
      <c r="E550" s="25">
        <v>-0.73673259999999996</v>
      </c>
    </row>
    <row r="551" spans="4:5">
      <c r="D551" s="1" t="s">
        <v>549</v>
      </c>
      <c r="E551" s="25">
        <v>-0.73673259999999996</v>
      </c>
    </row>
    <row r="552" spans="4:5">
      <c r="D552" s="1" t="s">
        <v>550</v>
      </c>
      <c r="E552" s="25">
        <v>-0.73673259999999996</v>
      </c>
    </row>
    <row r="553" spans="4:5">
      <c r="D553" s="1" t="s">
        <v>551</v>
      </c>
      <c r="E553" s="25">
        <v>-0.64630555999999995</v>
      </c>
    </row>
    <row r="554" spans="4:5">
      <c r="D554" s="1" t="s">
        <v>552</v>
      </c>
      <c r="E554" s="23">
        <v>-0.24381952000000001</v>
      </c>
    </row>
    <row r="555" spans="4:5">
      <c r="D555" s="1" t="s">
        <v>553</v>
      </c>
      <c r="E555" s="23">
        <v>-6.6530340000000004E-3</v>
      </c>
    </row>
    <row r="556" spans="4:5">
      <c r="D556" s="1" t="s">
        <v>554</v>
      </c>
      <c r="E556" s="23">
        <v>0.15968362999999999</v>
      </c>
    </row>
    <row r="557" spans="4:5">
      <c r="D557" s="1" t="s">
        <v>555</v>
      </c>
      <c r="E557" s="23">
        <v>0.16814109999999999</v>
      </c>
    </row>
    <row r="558" spans="4:5">
      <c r="D558" s="1" t="s">
        <v>556</v>
      </c>
      <c r="E558" s="23">
        <v>0.16814109999999999</v>
      </c>
    </row>
    <row r="559" spans="4:5">
      <c r="D559" s="1" t="s">
        <v>557</v>
      </c>
      <c r="E559" s="24">
        <v>9.7153210000000004E-2</v>
      </c>
    </row>
    <row r="560" spans="4:5">
      <c r="D560" s="1" t="s">
        <v>558</v>
      </c>
      <c r="E560" s="24">
        <v>9.7153210000000004E-2</v>
      </c>
    </row>
    <row r="561" spans="4:5">
      <c r="D561" s="1" t="s">
        <v>559</v>
      </c>
      <c r="E561" s="24">
        <v>9.7153210000000004E-2</v>
      </c>
    </row>
    <row r="562" spans="4:5">
      <c r="D562" s="1" t="s">
        <v>560</v>
      </c>
      <c r="E562" s="24">
        <v>9.7153210000000004E-2</v>
      </c>
    </row>
    <row r="563" spans="4:5">
      <c r="D563" s="1" t="s">
        <v>561</v>
      </c>
      <c r="E563" s="24">
        <v>9.7153210000000004E-2</v>
      </c>
    </row>
    <row r="564" spans="4:5">
      <c r="D564" s="1" t="s">
        <v>562</v>
      </c>
      <c r="E564" s="24">
        <v>9.7153210000000004E-2</v>
      </c>
    </row>
    <row r="565" spans="4:5">
      <c r="D565" s="1" t="s">
        <v>563</v>
      </c>
      <c r="E565" s="24">
        <v>9.7153210000000004E-2</v>
      </c>
    </row>
    <row r="566" spans="4:5">
      <c r="D566" s="1" t="s">
        <v>564</v>
      </c>
      <c r="E566" s="24">
        <v>9.7153210000000004E-2</v>
      </c>
    </row>
    <row r="567" spans="4:5">
      <c r="D567" s="1" t="s">
        <v>565</v>
      </c>
      <c r="E567" s="23">
        <v>9.7153210000000004E-2</v>
      </c>
    </row>
    <row r="568" spans="4:5">
      <c r="D568" s="1" t="s">
        <v>566</v>
      </c>
      <c r="E568" s="25">
        <v>0.18657762999999999</v>
      </c>
    </row>
    <row r="569" spans="4:5">
      <c r="D569" s="1" t="s">
        <v>567</v>
      </c>
      <c r="E569" s="25">
        <v>-0.33934017999999999</v>
      </c>
    </row>
    <row r="570" spans="4:5">
      <c r="D570" s="1" t="s">
        <v>568</v>
      </c>
      <c r="E570" s="25">
        <v>-0.73673259999999996</v>
      </c>
    </row>
    <row r="571" spans="4:5">
      <c r="D571" s="1" t="s">
        <v>569</v>
      </c>
      <c r="E571" s="25">
        <v>-0.73673259999999996</v>
      </c>
    </row>
    <row r="572" spans="4:5">
      <c r="D572" s="1" t="s">
        <v>570</v>
      </c>
      <c r="E572" s="25">
        <v>-0.73673259999999996</v>
      </c>
    </row>
    <row r="573" spans="4:5">
      <c r="D573" s="1" t="s">
        <v>571</v>
      </c>
      <c r="E573" s="25">
        <v>-0.73673259999999996</v>
      </c>
    </row>
    <row r="574" spans="4:5">
      <c r="D574" s="1" t="s">
        <v>572</v>
      </c>
      <c r="E574" s="25">
        <v>-0.73673259999999996</v>
      </c>
    </row>
    <row r="575" spans="4:5">
      <c r="D575" s="1" t="s">
        <v>573</v>
      </c>
      <c r="E575" s="25">
        <v>-0.73673259999999996</v>
      </c>
    </row>
    <row r="576" spans="4:5">
      <c r="D576" s="1" t="s">
        <v>574</v>
      </c>
      <c r="E576" s="25">
        <v>-0.73673259999999996</v>
      </c>
    </row>
    <row r="577" spans="4:5">
      <c r="D577" s="1" t="s">
        <v>575</v>
      </c>
      <c r="E577" s="23">
        <v>-0.64630555999999995</v>
      </c>
    </row>
    <row r="578" spans="4:5">
      <c r="D578" s="1" t="s">
        <v>576</v>
      </c>
      <c r="E578" s="23">
        <v>-0.24381952000000001</v>
      </c>
    </row>
    <row r="579" spans="4:5">
      <c r="D579" s="1" t="s">
        <v>577</v>
      </c>
      <c r="E579" s="23">
        <v>-6.6530340000000004E-3</v>
      </c>
    </row>
    <row r="580" spans="4:5">
      <c r="D580" s="1" t="s">
        <v>578</v>
      </c>
      <c r="E580" s="23">
        <v>0.15968362999999999</v>
      </c>
    </row>
    <row r="581" spans="4:5">
      <c r="D581" s="1" t="s">
        <v>579</v>
      </c>
      <c r="E581" s="23">
        <v>0.16814109999999999</v>
      </c>
    </row>
    <row r="582" spans="4:5">
      <c r="D582" s="1" t="s">
        <v>580</v>
      </c>
      <c r="E582" s="23">
        <v>0.16814109999999999</v>
      </c>
    </row>
    <row r="583" spans="4:5">
      <c r="D583" s="1" t="s">
        <v>581</v>
      </c>
      <c r="E583" s="24">
        <v>9.7153210000000004E-2</v>
      </c>
    </row>
    <row r="584" spans="4:5">
      <c r="D584" s="1" t="s">
        <v>582</v>
      </c>
      <c r="E584" s="24">
        <v>9.7153210000000004E-2</v>
      </c>
    </row>
    <row r="585" spans="4:5">
      <c r="D585" s="1" t="s">
        <v>583</v>
      </c>
      <c r="E585" s="24">
        <v>9.7153210000000004E-2</v>
      </c>
    </row>
    <row r="586" spans="4:5">
      <c r="D586" s="1" t="s">
        <v>584</v>
      </c>
      <c r="E586" s="24">
        <v>9.7153210000000004E-2</v>
      </c>
    </row>
    <row r="587" spans="4:5">
      <c r="D587" s="1" t="s">
        <v>585</v>
      </c>
      <c r="E587" s="24">
        <v>9.7153210000000004E-2</v>
      </c>
    </row>
    <row r="588" spans="4:5">
      <c r="D588" s="1" t="s">
        <v>586</v>
      </c>
      <c r="E588" s="24">
        <v>9.7153210000000004E-2</v>
      </c>
    </row>
    <row r="589" spans="4:5">
      <c r="D589" s="1" t="s">
        <v>587</v>
      </c>
      <c r="E589" s="24">
        <v>9.7153210000000004E-2</v>
      </c>
    </row>
    <row r="590" spans="4:5">
      <c r="D590" s="1" t="s">
        <v>588</v>
      </c>
      <c r="E590" s="24">
        <v>9.7153210000000004E-2</v>
      </c>
    </row>
    <row r="591" spans="4:5">
      <c r="D591" s="1" t="s">
        <v>589</v>
      </c>
      <c r="E591" s="23">
        <v>9.7153210000000004E-2</v>
      </c>
    </row>
    <row r="592" spans="4:5">
      <c r="D592" s="1" t="s">
        <v>590</v>
      </c>
      <c r="E592" s="25">
        <v>0.18657762999999999</v>
      </c>
    </row>
    <row r="593" spans="4:5">
      <c r="D593" s="1" t="s">
        <v>591</v>
      </c>
      <c r="E593" s="25">
        <v>-0.33934017999999999</v>
      </c>
    </row>
    <row r="594" spans="4:5">
      <c r="D594" s="1" t="s">
        <v>592</v>
      </c>
      <c r="E594" s="25">
        <v>-0.73673259999999996</v>
      </c>
    </row>
    <row r="595" spans="4:5">
      <c r="D595" s="1" t="s">
        <v>593</v>
      </c>
      <c r="E595" s="25">
        <v>-0.73673259999999996</v>
      </c>
    </row>
    <row r="596" spans="4:5">
      <c r="D596" s="1" t="s">
        <v>594</v>
      </c>
      <c r="E596" s="25">
        <v>-0.73673259999999996</v>
      </c>
    </row>
    <row r="597" spans="4:5">
      <c r="D597" s="1" t="s">
        <v>595</v>
      </c>
      <c r="E597" s="25">
        <v>-0.73673259999999996</v>
      </c>
    </row>
    <row r="598" spans="4:5">
      <c r="D598" s="1" t="s">
        <v>596</v>
      </c>
      <c r="E598" s="25">
        <v>-0.73673259999999996</v>
      </c>
    </row>
    <row r="599" spans="4:5">
      <c r="D599" s="1" t="s">
        <v>597</v>
      </c>
      <c r="E599" s="25">
        <v>-0.73673259999999996</v>
      </c>
    </row>
    <row r="600" spans="4:5">
      <c r="D600" s="1" t="s">
        <v>598</v>
      </c>
      <c r="E600" s="23">
        <v>-0.73673259999999996</v>
      </c>
    </row>
    <row r="601" spans="4:5">
      <c r="D601" s="1" t="s">
        <v>599</v>
      </c>
      <c r="E601" s="23">
        <v>-0.64630555999999995</v>
      </c>
    </row>
    <row r="602" spans="4:5">
      <c r="D602" s="1" t="s">
        <v>600</v>
      </c>
      <c r="E602" s="23">
        <v>-0.24381952000000001</v>
      </c>
    </row>
    <row r="603" spans="4:5">
      <c r="D603" s="1" t="s">
        <v>601</v>
      </c>
      <c r="E603" s="23">
        <v>-6.6530340000000004E-3</v>
      </c>
    </row>
    <row r="604" spans="4:5">
      <c r="D604" s="1" t="s">
        <v>602</v>
      </c>
      <c r="E604" s="23">
        <v>0.15968362999999999</v>
      </c>
    </row>
    <row r="605" spans="4:5">
      <c r="D605" s="1" t="s">
        <v>603</v>
      </c>
      <c r="E605" s="23">
        <v>0.16814109999999999</v>
      </c>
    </row>
    <row r="606" spans="4:5">
      <c r="D606" s="1" t="s">
        <v>604</v>
      </c>
      <c r="E606" s="23">
        <v>0.16814109999999999</v>
      </c>
    </row>
    <row r="607" spans="4:5">
      <c r="D607" s="1" t="s">
        <v>605</v>
      </c>
      <c r="E607" s="24">
        <v>9.7153210000000004E-2</v>
      </c>
    </row>
    <row r="608" spans="4:5">
      <c r="D608" s="1" t="s">
        <v>606</v>
      </c>
      <c r="E608" s="24">
        <v>9.7153210000000004E-2</v>
      </c>
    </row>
    <row r="609" spans="4:5">
      <c r="D609" s="1" t="s">
        <v>607</v>
      </c>
      <c r="E609" s="24">
        <v>9.7153210000000004E-2</v>
      </c>
    </row>
    <row r="610" spans="4:5">
      <c r="D610" s="1" t="s">
        <v>608</v>
      </c>
      <c r="E610" s="24">
        <v>9.7153210000000004E-2</v>
      </c>
    </row>
    <row r="611" spans="4:5">
      <c r="D611" s="1" t="s">
        <v>609</v>
      </c>
      <c r="E611" s="24">
        <v>9.7153210000000004E-2</v>
      </c>
    </row>
    <row r="612" spans="4:5">
      <c r="D612" s="1" t="s">
        <v>610</v>
      </c>
      <c r="E612" s="24">
        <v>9.7153210000000004E-2</v>
      </c>
    </row>
    <row r="613" spans="4:5">
      <c r="D613" s="1" t="s">
        <v>611</v>
      </c>
      <c r="E613" s="24">
        <v>9.7153210000000004E-2</v>
      </c>
    </row>
    <row r="614" spans="4:5">
      <c r="D614" s="1" t="s">
        <v>612</v>
      </c>
      <c r="E614" s="24">
        <v>9.7153210000000004E-2</v>
      </c>
    </row>
    <row r="615" spans="4:5">
      <c r="D615" s="1" t="s">
        <v>613</v>
      </c>
      <c r="E615" s="23">
        <v>9.7153210000000004E-2</v>
      </c>
    </row>
    <row r="616" spans="4:5">
      <c r="D616" s="1" t="s">
        <v>614</v>
      </c>
      <c r="E616" s="25">
        <v>0.18657762999999999</v>
      </c>
    </row>
    <row r="617" spans="4:5">
      <c r="D617" s="1" t="s">
        <v>615</v>
      </c>
      <c r="E617" s="25">
        <v>-0.33934017999999999</v>
      </c>
    </row>
    <row r="618" spans="4:5">
      <c r="D618" s="1" t="s">
        <v>616</v>
      </c>
      <c r="E618" s="25">
        <v>-0.73673259999999996</v>
      </c>
    </row>
    <row r="619" spans="4:5">
      <c r="D619" s="1" t="s">
        <v>617</v>
      </c>
      <c r="E619" s="25">
        <v>-0.73673259999999996</v>
      </c>
    </row>
    <row r="620" spans="4:5">
      <c r="D620" s="1" t="s">
        <v>618</v>
      </c>
      <c r="E620" s="25">
        <v>-0.73673259999999996</v>
      </c>
    </row>
    <row r="621" spans="4:5">
      <c r="D621" s="1" t="s">
        <v>619</v>
      </c>
      <c r="E621" s="25">
        <v>-0.73673259999999996</v>
      </c>
    </row>
    <row r="622" spans="4:5">
      <c r="D622" s="1" t="s">
        <v>620</v>
      </c>
      <c r="E622" s="25">
        <v>-0.73673259999999996</v>
      </c>
    </row>
    <row r="623" spans="4:5">
      <c r="D623" s="1" t="s">
        <v>621</v>
      </c>
      <c r="E623" s="25">
        <v>-0.73673259999999996</v>
      </c>
    </row>
    <row r="624" spans="4:5">
      <c r="D624" s="1" t="s">
        <v>622</v>
      </c>
      <c r="E624" s="25">
        <v>-0.73673259999999996</v>
      </c>
    </row>
    <row r="625" spans="4:5">
      <c r="D625" s="1" t="s">
        <v>623</v>
      </c>
      <c r="E625" s="23">
        <v>-0.64630555999999995</v>
      </c>
    </row>
    <row r="626" spans="4:5">
      <c r="D626" s="1" t="s">
        <v>624</v>
      </c>
      <c r="E626" s="23">
        <v>-0.24381952000000001</v>
      </c>
    </row>
    <row r="627" spans="4:5">
      <c r="D627" s="1" t="s">
        <v>625</v>
      </c>
      <c r="E627" s="23">
        <v>-6.6530340000000004E-3</v>
      </c>
    </row>
    <row r="628" spans="4:5">
      <c r="D628" s="1" t="s">
        <v>626</v>
      </c>
      <c r="E628" s="23">
        <v>0.15968362999999999</v>
      </c>
    </row>
    <row r="629" spans="4:5">
      <c r="D629" s="1" t="s">
        <v>627</v>
      </c>
      <c r="E629" s="23">
        <v>0.16814109999999999</v>
      </c>
    </row>
    <row r="630" spans="4:5">
      <c r="D630" s="1" t="s">
        <v>628</v>
      </c>
      <c r="E630" s="23">
        <v>0.16814109999999999</v>
      </c>
    </row>
    <row r="631" spans="4:5">
      <c r="D631" s="1" t="s">
        <v>629</v>
      </c>
      <c r="E631" s="24">
        <v>0.10339576</v>
      </c>
    </row>
    <row r="632" spans="4:5">
      <c r="D632" s="1" t="s">
        <v>630</v>
      </c>
      <c r="E632" s="24">
        <v>0.10339576</v>
      </c>
    </row>
    <row r="633" spans="4:5">
      <c r="D633" s="1" t="s">
        <v>631</v>
      </c>
      <c r="E633" s="24">
        <v>0.10339576</v>
      </c>
    </row>
    <row r="634" spans="4:5">
      <c r="D634" s="1" t="s">
        <v>632</v>
      </c>
      <c r="E634" s="24">
        <v>0.10339576</v>
      </c>
    </row>
    <row r="635" spans="4:5">
      <c r="D635" s="1" t="s">
        <v>633</v>
      </c>
      <c r="E635" s="24">
        <v>0.10339576</v>
      </c>
    </row>
    <row r="636" spans="4:5">
      <c r="D636" s="1" t="s">
        <v>634</v>
      </c>
      <c r="E636" s="24">
        <v>0.10339576</v>
      </c>
    </row>
    <row r="637" spans="4:5">
      <c r="D637" s="1" t="s">
        <v>635</v>
      </c>
      <c r="E637" s="24">
        <v>0.10339576</v>
      </c>
    </row>
    <row r="638" spans="4:5">
      <c r="D638" s="1" t="s">
        <v>636</v>
      </c>
      <c r="E638" s="24">
        <v>0.10339576</v>
      </c>
    </row>
    <row r="639" spans="4:5">
      <c r="D639" s="1" t="s">
        <v>637</v>
      </c>
      <c r="E639" s="23">
        <v>0.10339576</v>
      </c>
    </row>
    <row r="640" spans="4:5">
      <c r="D640" s="1" t="s">
        <v>638</v>
      </c>
      <c r="E640" s="25">
        <v>0.19282019</v>
      </c>
    </row>
    <row r="641" spans="4:5">
      <c r="D641" s="1" t="s">
        <v>639</v>
      </c>
      <c r="E641" s="25">
        <v>-0.28145619999999999</v>
      </c>
    </row>
    <row r="642" spans="4:5">
      <c r="D642" s="1" t="s">
        <v>640</v>
      </c>
      <c r="E642" s="25">
        <v>-0.66605899999999996</v>
      </c>
    </row>
    <row r="643" spans="4:5">
      <c r="D643" s="1" t="s">
        <v>641</v>
      </c>
      <c r="E643" s="25">
        <v>-0.66605899999999996</v>
      </c>
    </row>
    <row r="644" spans="4:5">
      <c r="D644" s="1" t="s">
        <v>642</v>
      </c>
      <c r="E644" s="25">
        <v>-0.66605899999999996</v>
      </c>
    </row>
    <row r="645" spans="4:5">
      <c r="D645" s="1" t="s">
        <v>643</v>
      </c>
      <c r="E645" s="25">
        <v>-0.66605899999999996</v>
      </c>
    </row>
    <row r="646" spans="4:5">
      <c r="D646" s="1" t="s">
        <v>644</v>
      </c>
      <c r="E646" s="25">
        <v>-0.66605899999999996</v>
      </c>
    </row>
    <row r="647" spans="4:5">
      <c r="D647" s="1" t="s">
        <v>645</v>
      </c>
      <c r="E647" s="25">
        <v>-0.66605899999999996</v>
      </c>
    </row>
    <row r="648" spans="4:5">
      <c r="D648" s="1" t="s">
        <v>646</v>
      </c>
      <c r="E648" s="25">
        <v>-0.66605899999999996</v>
      </c>
    </row>
    <row r="649" spans="4:5">
      <c r="D649" s="1" t="s">
        <v>647</v>
      </c>
      <c r="E649" s="25">
        <v>-0.57563186</v>
      </c>
    </row>
    <row r="650" spans="4:5">
      <c r="D650" s="1" t="s">
        <v>648</v>
      </c>
      <c r="E650" s="23">
        <v>-0.17314589999999999</v>
      </c>
    </row>
    <row r="651" spans="4:5">
      <c r="D651" s="1" t="s">
        <v>649</v>
      </c>
      <c r="E651" s="23">
        <v>6.4020543999999999E-2</v>
      </c>
    </row>
    <row r="652" spans="4:5">
      <c r="D652" s="1" t="s">
        <v>650</v>
      </c>
      <c r="E652" s="23">
        <v>0.17871587</v>
      </c>
    </row>
    <row r="653" spans="4:5">
      <c r="D653" s="1" t="s">
        <v>651</v>
      </c>
      <c r="E653" s="23">
        <v>0.18717333999999999</v>
      </c>
    </row>
    <row r="654" spans="4:5">
      <c r="D654" s="1" t="s">
        <v>652</v>
      </c>
      <c r="E654" s="23">
        <v>0.18717333999999999</v>
      </c>
    </row>
    <row r="655" spans="4:5">
      <c r="D655" s="1" t="s">
        <v>653</v>
      </c>
      <c r="E655" s="24">
        <v>0.10352066</v>
      </c>
    </row>
    <row r="656" spans="4:5">
      <c r="D656" s="1" t="s">
        <v>654</v>
      </c>
      <c r="E656" s="24">
        <v>0.10352066</v>
      </c>
    </row>
    <row r="657" spans="4:5">
      <c r="D657" s="1" t="s">
        <v>655</v>
      </c>
      <c r="E657" s="24">
        <v>0.10352066</v>
      </c>
    </row>
    <row r="658" spans="4:5">
      <c r="D658" s="1" t="s">
        <v>656</v>
      </c>
      <c r="E658" s="24">
        <v>0.10352066</v>
      </c>
    </row>
    <row r="659" spans="4:5">
      <c r="D659" s="1" t="s">
        <v>657</v>
      </c>
      <c r="E659" s="24">
        <v>0.10352066</v>
      </c>
    </row>
    <row r="660" spans="4:5">
      <c r="D660" s="1" t="s">
        <v>658</v>
      </c>
      <c r="E660" s="24">
        <v>0.10352066</v>
      </c>
    </row>
    <row r="661" spans="4:5">
      <c r="D661" s="1" t="s">
        <v>659</v>
      </c>
      <c r="E661" s="24">
        <v>0.10352066</v>
      </c>
    </row>
    <row r="662" spans="4:5">
      <c r="D662" s="1" t="s">
        <v>660</v>
      </c>
      <c r="E662" s="24">
        <v>0.10352066</v>
      </c>
    </row>
    <row r="663" spans="4:5">
      <c r="D663" s="1" t="s">
        <v>661</v>
      </c>
      <c r="E663" s="23">
        <v>0.10352066</v>
      </c>
    </row>
    <row r="664" spans="4:5">
      <c r="D664" s="1" t="s">
        <v>662</v>
      </c>
      <c r="E664" s="25">
        <v>0.19294510000000001</v>
      </c>
    </row>
    <row r="665" spans="4:5">
      <c r="D665" s="1" t="s">
        <v>663</v>
      </c>
      <c r="E665" s="25">
        <v>-0.19343117000000001</v>
      </c>
    </row>
    <row r="666" spans="4:5">
      <c r="D666" s="1" t="s">
        <v>664</v>
      </c>
      <c r="E666" s="25">
        <v>-9.3417525000000001E-2</v>
      </c>
    </row>
    <row r="667" spans="4:5">
      <c r="D667" s="1" t="s">
        <v>665</v>
      </c>
      <c r="E667" s="25">
        <v>-9.3417525000000001E-2</v>
      </c>
    </row>
    <row r="668" spans="4:5">
      <c r="D668" s="1" t="s">
        <v>666</v>
      </c>
      <c r="E668" s="25">
        <v>-9.3417525000000001E-2</v>
      </c>
    </row>
    <row r="669" spans="4:5">
      <c r="D669" s="1" t="s">
        <v>667</v>
      </c>
      <c r="E669" s="25">
        <v>-9.3417525000000001E-2</v>
      </c>
    </row>
    <row r="670" spans="4:5">
      <c r="D670" s="1" t="s">
        <v>668</v>
      </c>
      <c r="E670" s="25">
        <v>-9.3417525000000001E-2</v>
      </c>
    </row>
    <row r="671" spans="4:5">
      <c r="D671" s="1" t="s">
        <v>669</v>
      </c>
      <c r="E671" s="25">
        <v>-9.3417525000000001E-2</v>
      </c>
    </row>
    <row r="672" spans="4:5">
      <c r="D672" s="1" t="s">
        <v>670</v>
      </c>
      <c r="E672" s="25">
        <v>-9.3417525000000001E-2</v>
      </c>
    </row>
    <row r="673" spans="4:5">
      <c r="D673" s="1" t="s">
        <v>671</v>
      </c>
      <c r="E673" s="25">
        <v>-5.5464479999999997E-2</v>
      </c>
    </row>
    <row r="674" spans="4:5">
      <c r="D674" s="1" t="s">
        <v>672</v>
      </c>
      <c r="E674" s="23">
        <v>0.17626043999999999</v>
      </c>
    </row>
    <row r="675" spans="4:5">
      <c r="D675" s="1" t="s">
        <v>673</v>
      </c>
      <c r="E675" s="23">
        <v>0.14397620999999999</v>
      </c>
    </row>
    <row r="676" spans="4:5">
      <c r="D676" s="1" t="s">
        <v>674</v>
      </c>
      <c r="E676" s="23">
        <v>0.17884077000000001</v>
      </c>
    </row>
    <row r="677" spans="4:5">
      <c r="D677" s="1" t="s">
        <v>675</v>
      </c>
      <c r="E677" s="23">
        <v>0.18729824</v>
      </c>
    </row>
    <row r="678" spans="4:5">
      <c r="D678" s="1" t="s">
        <v>676</v>
      </c>
      <c r="E678" s="23">
        <v>0.18729824</v>
      </c>
    </row>
    <row r="679" spans="4:5">
      <c r="D679" s="1" t="s">
        <v>677</v>
      </c>
      <c r="E679" s="24">
        <v>0.10352066</v>
      </c>
    </row>
    <row r="680" spans="4:5">
      <c r="D680" s="1" t="s">
        <v>678</v>
      </c>
      <c r="E680" s="24">
        <v>0.10352066</v>
      </c>
    </row>
    <row r="681" spans="4:5">
      <c r="D681" s="1" t="s">
        <v>679</v>
      </c>
      <c r="E681" s="24">
        <v>0.10352066</v>
      </c>
    </row>
    <row r="682" spans="4:5">
      <c r="D682" s="1" t="s">
        <v>680</v>
      </c>
      <c r="E682" s="24">
        <v>0.10352066</v>
      </c>
    </row>
    <row r="683" spans="4:5">
      <c r="D683" s="1" t="s">
        <v>681</v>
      </c>
      <c r="E683" s="24">
        <v>0.10352066</v>
      </c>
    </row>
    <row r="684" spans="4:5">
      <c r="D684" s="1" t="s">
        <v>682</v>
      </c>
      <c r="E684" s="24">
        <v>0.10352066</v>
      </c>
    </row>
    <row r="685" spans="4:5">
      <c r="D685" s="1" t="s">
        <v>683</v>
      </c>
      <c r="E685" s="24">
        <v>0.10352066</v>
      </c>
    </row>
    <row r="686" spans="4:5">
      <c r="D686" s="1" t="s">
        <v>684</v>
      </c>
      <c r="E686" s="24">
        <v>0.10352066</v>
      </c>
    </row>
    <row r="687" spans="4:5">
      <c r="D687" s="1" t="s">
        <v>685</v>
      </c>
      <c r="E687" s="23">
        <v>0.10352066</v>
      </c>
    </row>
    <row r="688" spans="4:5">
      <c r="D688" s="1" t="s">
        <v>686</v>
      </c>
      <c r="E688" s="25">
        <v>0.19294510000000001</v>
      </c>
    </row>
    <row r="689" spans="4:5">
      <c r="D689" s="1" t="s">
        <v>687</v>
      </c>
      <c r="E689" s="25">
        <v>-0.19343117000000001</v>
      </c>
    </row>
    <row r="690" spans="4:5">
      <c r="D690" s="1" t="s">
        <v>688</v>
      </c>
      <c r="E690" s="23">
        <v>-9.3417525000000001E-2</v>
      </c>
    </row>
    <row r="691" spans="4:5">
      <c r="D691" s="1" t="s">
        <v>689</v>
      </c>
      <c r="E691" s="23">
        <v>-9.3417525000000001E-2</v>
      </c>
    </row>
    <row r="692" spans="4:5">
      <c r="D692" s="1" t="s">
        <v>690</v>
      </c>
      <c r="E692" s="25">
        <v>-9.3417525000000001E-2</v>
      </c>
    </row>
    <row r="693" spans="4:5">
      <c r="D693" s="1" t="s">
        <v>691</v>
      </c>
      <c r="E693" s="25">
        <v>-9.3417525000000001E-2</v>
      </c>
    </row>
    <row r="694" spans="4:5">
      <c r="D694" s="1" t="s">
        <v>692</v>
      </c>
      <c r="E694" s="25">
        <v>-9.3417525000000001E-2</v>
      </c>
    </row>
    <row r="695" spans="4:5">
      <c r="D695" s="1" t="s">
        <v>693</v>
      </c>
      <c r="E695" s="25">
        <v>-9.3417525000000001E-2</v>
      </c>
    </row>
    <row r="696" spans="4:5">
      <c r="D696" s="1" t="s">
        <v>694</v>
      </c>
      <c r="E696" s="25">
        <v>-9.3417525000000001E-2</v>
      </c>
    </row>
    <row r="697" spans="4:5">
      <c r="D697" s="1" t="s">
        <v>695</v>
      </c>
      <c r="E697" s="25">
        <v>-5.5464479999999997E-2</v>
      </c>
    </row>
    <row r="698" spans="4:5">
      <c r="D698" s="1" t="s">
        <v>696</v>
      </c>
      <c r="E698" s="23">
        <v>0.17626043999999999</v>
      </c>
    </row>
    <row r="699" spans="4:5">
      <c r="D699" s="1" t="s">
        <v>697</v>
      </c>
      <c r="E699" s="23">
        <v>0.14397620999999999</v>
      </c>
    </row>
    <row r="700" spans="4:5">
      <c r="D700" s="1" t="s">
        <v>698</v>
      </c>
      <c r="E700" s="23">
        <v>0.17884077000000001</v>
      </c>
    </row>
    <row r="701" spans="4:5">
      <c r="D701" s="1" t="s">
        <v>699</v>
      </c>
      <c r="E701" s="23">
        <v>0.18729824</v>
      </c>
    </row>
    <row r="702" spans="4:5">
      <c r="D702" s="1" t="s">
        <v>700</v>
      </c>
      <c r="E702" s="23">
        <v>0.18729824</v>
      </c>
    </row>
    <row r="703" spans="4:5">
      <c r="D703" s="1" t="s">
        <v>701</v>
      </c>
      <c r="E703" s="23">
        <v>9.7153210000000004E-2</v>
      </c>
    </row>
    <row r="704" spans="4:5">
      <c r="D704" s="1" t="s">
        <v>702</v>
      </c>
      <c r="E704" s="24">
        <v>9.7153210000000004E-2</v>
      </c>
    </row>
    <row r="705" spans="4:5">
      <c r="D705" s="1" t="s">
        <v>703</v>
      </c>
      <c r="E705" s="24">
        <v>9.7153210000000004E-2</v>
      </c>
    </row>
    <row r="706" spans="4:5">
      <c r="D706" s="1" t="s">
        <v>704</v>
      </c>
      <c r="E706" s="24">
        <v>9.7153210000000004E-2</v>
      </c>
    </row>
    <row r="707" spans="4:5">
      <c r="D707" s="1" t="s">
        <v>705</v>
      </c>
      <c r="E707" s="24">
        <v>9.7153210000000004E-2</v>
      </c>
    </row>
    <row r="708" spans="4:5">
      <c r="D708" s="1" t="s">
        <v>706</v>
      </c>
      <c r="E708" s="24">
        <v>9.7153210000000004E-2</v>
      </c>
    </row>
    <row r="709" spans="4:5">
      <c r="D709" s="1" t="s">
        <v>707</v>
      </c>
      <c r="E709" s="24">
        <v>9.7153210000000004E-2</v>
      </c>
    </row>
    <row r="710" spans="4:5">
      <c r="D710" s="1" t="s">
        <v>708</v>
      </c>
      <c r="E710" s="24">
        <v>9.7153210000000004E-2</v>
      </c>
    </row>
    <row r="711" spans="4:5">
      <c r="D711" s="1" t="s">
        <v>709</v>
      </c>
      <c r="E711" s="25">
        <v>9.7153210000000004E-2</v>
      </c>
    </row>
    <row r="712" spans="4:5">
      <c r="D712" s="1" t="s">
        <v>710</v>
      </c>
      <c r="E712" s="25">
        <v>0.18657762999999999</v>
      </c>
    </row>
    <row r="713" spans="4:5">
      <c r="D713" s="1" t="s">
        <v>711</v>
      </c>
      <c r="E713" s="25">
        <v>-0.33934017999999999</v>
      </c>
    </row>
    <row r="714" spans="4:5">
      <c r="D714" s="1" t="s">
        <v>712</v>
      </c>
      <c r="E714" s="25">
        <v>-0.73673259999999996</v>
      </c>
    </row>
    <row r="715" spans="4:5">
      <c r="D715" s="1" t="s">
        <v>713</v>
      </c>
      <c r="E715" s="25">
        <v>-0.73673259999999996</v>
      </c>
    </row>
    <row r="716" spans="4:5">
      <c r="D716" s="1" t="s">
        <v>714</v>
      </c>
      <c r="E716" s="25">
        <v>-0.73673259999999996</v>
      </c>
    </row>
    <row r="717" spans="4:5">
      <c r="D717" s="1" t="s">
        <v>715</v>
      </c>
      <c r="E717" s="25">
        <v>-0.73673259999999996</v>
      </c>
    </row>
    <row r="718" spans="4:5">
      <c r="D718" s="1" t="s">
        <v>716</v>
      </c>
      <c r="E718" s="25">
        <v>-0.73673259999999996</v>
      </c>
    </row>
    <row r="719" spans="4:5">
      <c r="D719" s="1" t="s">
        <v>717</v>
      </c>
      <c r="E719" s="25">
        <v>-0.73673259999999996</v>
      </c>
    </row>
    <row r="720" spans="4:5">
      <c r="D720" s="1" t="s">
        <v>718</v>
      </c>
      <c r="E720" s="25">
        <v>-0.73673259999999996</v>
      </c>
    </row>
    <row r="721" spans="4:5">
      <c r="D721" s="1" t="s">
        <v>719</v>
      </c>
      <c r="E721" s="25">
        <v>-0.64630555999999995</v>
      </c>
    </row>
    <row r="722" spans="4:5">
      <c r="D722" s="1" t="s">
        <v>720</v>
      </c>
      <c r="E722" s="25">
        <v>-0.24381952000000001</v>
      </c>
    </row>
    <row r="723" spans="4:5">
      <c r="D723" s="1" t="s">
        <v>721</v>
      </c>
      <c r="E723" s="25">
        <v>-6.6530340000000004E-3</v>
      </c>
    </row>
    <row r="724" spans="4:5">
      <c r="D724" s="1" t="s">
        <v>722</v>
      </c>
      <c r="E724" s="25">
        <v>0.15968362999999999</v>
      </c>
    </row>
    <row r="725" spans="4:5">
      <c r="D725" s="1" t="s">
        <v>723</v>
      </c>
      <c r="E725" s="25">
        <v>0.16814109999999999</v>
      </c>
    </row>
    <row r="726" spans="4:5">
      <c r="D726" s="1" t="s">
        <v>724</v>
      </c>
      <c r="E726" s="25">
        <v>0.16814109999999999</v>
      </c>
    </row>
    <row r="727" spans="4:5">
      <c r="E727" s="6"/>
    </row>
    <row r="728" spans="4:5">
      <c r="E728" s="6"/>
    </row>
    <row r="729" spans="4:5">
      <c r="E729" s="6"/>
    </row>
    <row r="730" spans="4:5">
      <c r="E730" s="6"/>
    </row>
    <row r="731" spans="4:5">
      <c r="E731" s="6"/>
    </row>
    <row r="732" spans="4:5">
      <c r="E732" s="6"/>
    </row>
    <row r="733" spans="4:5">
      <c r="E733" s="6"/>
    </row>
    <row r="734" spans="4:5">
      <c r="E734" s="6"/>
    </row>
    <row r="735" spans="4:5">
      <c r="E735" s="6"/>
    </row>
    <row r="736" spans="4:5">
      <c r="E736" s="6"/>
    </row>
    <row r="737" spans="5:5">
      <c r="E737" s="6"/>
    </row>
    <row r="738" spans="5:5">
      <c r="E738" s="6"/>
    </row>
    <row r="739" spans="5:5">
      <c r="E739" s="6"/>
    </row>
    <row r="740" spans="5:5">
      <c r="E740" s="6"/>
    </row>
    <row r="741" spans="5:5">
      <c r="E741" s="6"/>
    </row>
    <row r="742" spans="5:5">
      <c r="E742" s="6"/>
    </row>
    <row r="743" spans="5:5">
      <c r="E743" s="6"/>
    </row>
    <row r="744" spans="5:5">
      <c r="E744" s="6"/>
    </row>
    <row r="745" spans="5:5">
      <c r="E745" s="6"/>
    </row>
    <row r="746" spans="5:5">
      <c r="E746" s="6"/>
    </row>
    <row r="747" spans="5:5">
      <c r="E747" s="6"/>
    </row>
    <row r="748" spans="5:5">
      <c r="E748" s="6"/>
    </row>
    <row r="749" spans="5:5">
      <c r="E749" s="6"/>
    </row>
    <row r="750" spans="5:5">
      <c r="E750" s="6"/>
    </row>
    <row r="751" spans="5:5">
      <c r="E751" s="6"/>
    </row>
    <row r="752" spans="5:5">
      <c r="E752" s="6"/>
    </row>
    <row r="753" spans="5:5">
      <c r="E753" s="6"/>
    </row>
    <row r="754" spans="5:5">
      <c r="E754" s="6"/>
    </row>
    <row r="755" spans="5:5">
      <c r="E755" s="6"/>
    </row>
    <row r="756" spans="5:5">
      <c r="E756" s="6"/>
    </row>
    <row r="757" spans="5:5">
      <c r="E757" s="6"/>
    </row>
    <row r="758" spans="5:5">
      <c r="E758" s="6"/>
    </row>
    <row r="759" spans="5:5">
      <c r="E759" s="6"/>
    </row>
    <row r="760" spans="5:5">
      <c r="E760" s="6"/>
    </row>
    <row r="761" spans="5:5">
      <c r="E761" s="6"/>
    </row>
    <row r="762" spans="5:5">
      <c r="E762" s="6"/>
    </row>
    <row r="763" spans="5:5">
      <c r="E763" s="6"/>
    </row>
    <row r="764" spans="5:5">
      <c r="E764" s="6"/>
    </row>
    <row r="765" spans="5:5">
      <c r="E765" s="6"/>
    </row>
    <row r="766" spans="5:5">
      <c r="E766" s="6"/>
    </row>
    <row r="767" spans="5:5">
      <c r="E767" s="6"/>
    </row>
    <row r="768" spans="5:5">
      <c r="E768" s="6"/>
    </row>
    <row r="769" spans="5:5">
      <c r="E769" s="6"/>
    </row>
    <row r="770" spans="5:5">
      <c r="E770" s="6"/>
    </row>
    <row r="771" spans="5:5">
      <c r="E771" s="6"/>
    </row>
    <row r="772" spans="5:5">
      <c r="E772" s="6"/>
    </row>
    <row r="773" spans="5:5">
      <c r="E773" s="6"/>
    </row>
    <row r="774" spans="5:5">
      <c r="E774" s="6"/>
    </row>
    <row r="775" spans="5:5">
      <c r="E775" s="6"/>
    </row>
    <row r="776" spans="5:5">
      <c r="E776" s="6"/>
    </row>
    <row r="777" spans="5:5">
      <c r="E777" s="6"/>
    </row>
    <row r="778" spans="5:5">
      <c r="E778" s="6"/>
    </row>
    <row r="779" spans="5:5">
      <c r="E779" s="6"/>
    </row>
    <row r="780" spans="5:5">
      <c r="E780" s="6"/>
    </row>
    <row r="781" spans="5:5">
      <c r="E781" s="6"/>
    </row>
    <row r="782" spans="5:5">
      <c r="E782" s="6"/>
    </row>
    <row r="783" spans="5:5">
      <c r="E783" s="6"/>
    </row>
    <row r="784" spans="5:5">
      <c r="E784" s="6"/>
    </row>
    <row r="785" spans="5:5">
      <c r="E785" s="6"/>
    </row>
    <row r="786" spans="5:5">
      <c r="E786" s="6"/>
    </row>
    <row r="787" spans="5:5">
      <c r="E787" s="6"/>
    </row>
    <row r="788" spans="5:5">
      <c r="E788" s="6"/>
    </row>
    <row r="789" spans="5:5">
      <c r="E789" s="6"/>
    </row>
    <row r="790" spans="5:5">
      <c r="E790" s="6"/>
    </row>
    <row r="791" spans="5:5">
      <c r="E791" s="6"/>
    </row>
    <row r="792" spans="5:5">
      <c r="E792" s="6"/>
    </row>
    <row r="793" spans="5:5">
      <c r="E793" s="6"/>
    </row>
    <row r="794" spans="5:5">
      <c r="E794" s="6"/>
    </row>
    <row r="795" spans="5:5">
      <c r="E795" s="6"/>
    </row>
    <row r="796" spans="5:5">
      <c r="E796" s="6"/>
    </row>
    <row r="797" spans="5:5">
      <c r="E797" s="6"/>
    </row>
    <row r="798" spans="5:5">
      <c r="E798" s="6"/>
    </row>
    <row r="799" spans="5:5">
      <c r="E799" s="6"/>
    </row>
    <row r="800" spans="5:5">
      <c r="E800" s="6"/>
    </row>
    <row r="801" spans="5:5">
      <c r="E801" s="6"/>
    </row>
    <row r="802" spans="5:5">
      <c r="E802" s="6"/>
    </row>
    <row r="803" spans="5:5">
      <c r="E803" s="6"/>
    </row>
    <row r="804" spans="5:5">
      <c r="E804" s="6"/>
    </row>
    <row r="805" spans="5:5">
      <c r="E805" s="6"/>
    </row>
    <row r="806" spans="5:5">
      <c r="E806" s="6"/>
    </row>
    <row r="807" spans="5:5">
      <c r="E807" s="6"/>
    </row>
    <row r="808" spans="5:5">
      <c r="E808" s="6"/>
    </row>
    <row r="809" spans="5:5">
      <c r="E809" s="6"/>
    </row>
    <row r="810" spans="5:5">
      <c r="E810" s="6"/>
    </row>
    <row r="811" spans="5:5">
      <c r="E811" s="6"/>
    </row>
    <row r="812" spans="5:5">
      <c r="E812" s="6"/>
    </row>
    <row r="813" spans="5:5">
      <c r="E813" s="6"/>
    </row>
    <row r="814" spans="5:5">
      <c r="E814" s="6"/>
    </row>
    <row r="815" spans="5:5">
      <c r="E815" s="6"/>
    </row>
    <row r="816" spans="5:5">
      <c r="E816" s="6"/>
    </row>
    <row r="817" spans="5:5">
      <c r="E817" s="6"/>
    </row>
    <row r="818" spans="5:5">
      <c r="E818" s="6"/>
    </row>
    <row r="819" spans="5:5">
      <c r="E819" s="6"/>
    </row>
    <row r="820" spans="5:5">
      <c r="E820" s="6"/>
    </row>
    <row r="821" spans="5:5">
      <c r="E821" s="6"/>
    </row>
    <row r="822" spans="5:5">
      <c r="E822" s="6"/>
    </row>
    <row r="823" spans="5:5">
      <c r="E823" s="6"/>
    </row>
    <row r="824" spans="5:5">
      <c r="E824" s="6"/>
    </row>
    <row r="825" spans="5:5">
      <c r="E825" s="6"/>
    </row>
    <row r="826" spans="5:5">
      <c r="E826" s="6"/>
    </row>
    <row r="827" spans="5:5">
      <c r="E827" s="6"/>
    </row>
    <row r="828" spans="5:5">
      <c r="E828" s="6"/>
    </row>
    <row r="829" spans="5:5">
      <c r="E829" s="6"/>
    </row>
    <row r="830" spans="5:5">
      <c r="E830" s="6"/>
    </row>
    <row r="831" spans="5:5">
      <c r="E831" s="6"/>
    </row>
    <row r="832" spans="5:5">
      <c r="E832" s="6"/>
    </row>
    <row r="833" spans="5:5">
      <c r="E833" s="6"/>
    </row>
    <row r="834" spans="5:5">
      <c r="E834" s="6"/>
    </row>
    <row r="835" spans="5:5">
      <c r="E835" s="6"/>
    </row>
    <row r="836" spans="5:5">
      <c r="E836" s="6"/>
    </row>
    <row r="837" spans="5:5">
      <c r="E837" s="6"/>
    </row>
    <row r="838" spans="5:5">
      <c r="E838" s="6"/>
    </row>
    <row r="839" spans="5:5">
      <c r="E839" s="6"/>
    </row>
    <row r="840" spans="5:5">
      <c r="E840" s="6"/>
    </row>
    <row r="841" spans="5:5">
      <c r="E841" s="6"/>
    </row>
    <row r="842" spans="5:5">
      <c r="E842" s="6"/>
    </row>
    <row r="843" spans="5:5">
      <c r="E843" s="6"/>
    </row>
    <row r="844" spans="5:5">
      <c r="E844" s="6"/>
    </row>
    <row r="845" spans="5:5">
      <c r="E845" s="6"/>
    </row>
    <row r="846" spans="5:5">
      <c r="E846" s="6"/>
    </row>
    <row r="847" spans="5:5">
      <c r="E847" s="6"/>
    </row>
    <row r="848" spans="5:5">
      <c r="E848" s="6"/>
    </row>
    <row r="849" spans="5:5">
      <c r="E849" s="6"/>
    </row>
    <row r="850" spans="5:5">
      <c r="E850" s="6"/>
    </row>
    <row r="851" spans="5:5">
      <c r="E851" s="6"/>
    </row>
    <row r="852" spans="5:5">
      <c r="E852" s="6"/>
    </row>
    <row r="853" spans="5:5">
      <c r="E853" s="6"/>
    </row>
    <row r="854" spans="5:5">
      <c r="E854" s="6"/>
    </row>
    <row r="855" spans="5:5">
      <c r="E855" s="6"/>
    </row>
    <row r="856" spans="5:5">
      <c r="E856" s="6"/>
    </row>
    <row r="857" spans="5:5">
      <c r="E857" s="6"/>
    </row>
    <row r="858" spans="5:5">
      <c r="E858" s="6"/>
    </row>
    <row r="859" spans="5:5">
      <c r="E859" s="6"/>
    </row>
    <row r="860" spans="5:5">
      <c r="E860" s="6"/>
    </row>
    <row r="861" spans="5:5">
      <c r="E861" s="6"/>
    </row>
    <row r="862" spans="5:5">
      <c r="E862" s="6"/>
    </row>
    <row r="863" spans="5:5">
      <c r="E863" s="6"/>
    </row>
    <row r="864" spans="5:5">
      <c r="E864" s="6"/>
    </row>
    <row r="865" spans="5:5">
      <c r="E865" s="6"/>
    </row>
    <row r="866" spans="5:5">
      <c r="E866" s="6"/>
    </row>
    <row r="867" spans="5:5">
      <c r="E867" s="6"/>
    </row>
    <row r="868" spans="5:5">
      <c r="E868" s="6"/>
    </row>
    <row r="869" spans="5:5">
      <c r="E869" s="6"/>
    </row>
    <row r="870" spans="5:5">
      <c r="E870" s="6"/>
    </row>
    <row r="871" spans="5:5">
      <c r="E871" s="6"/>
    </row>
    <row r="872" spans="5:5">
      <c r="E872" s="6"/>
    </row>
    <row r="873" spans="5:5">
      <c r="E873" s="6"/>
    </row>
    <row r="874" spans="5:5">
      <c r="E874" s="6"/>
    </row>
    <row r="875" spans="5:5">
      <c r="E875" s="6"/>
    </row>
    <row r="876" spans="5:5">
      <c r="E876" s="6"/>
    </row>
    <row r="877" spans="5:5">
      <c r="E877" s="6"/>
    </row>
    <row r="878" spans="5:5">
      <c r="E878" s="6"/>
    </row>
    <row r="879" spans="5:5">
      <c r="E879" s="6"/>
    </row>
    <row r="880" spans="5:5">
      <c r="E880" s="6"/>
    </row>
    <row r="881" spans="5:5">
      <c r="E881" s="6"/>
    </row>
    <row r="882" spans="5:5">
      <c r="E882" s="6"/>
    </row>
    <row r="883" spans="5:5">
      <c r="E883" s="6"/>
    </row>
    <row r="884" spans="5:5">
      <c r="E884" s="6"/>
    </row>
    <row r="885" spans="5:5">
      <c r="E885" s="6"/>
    </row>
    <row r="886" spans="5:5">
      <c r="E886" s="6"/>
    </row>
    <row r="887" spans="5:5">
      <c r="E887" s="6"/>
    </row>
    <row r="888" spans="5:5">
      <c r="E888" s="6"/>
    </row>
    <row r="889" spans="5:5">
      <c r="E889" s="6"/>
    </row>
    <row r="890" spans="5:5">
      <c r="E890" s="6"/>
    </row>
    <row r="891" spans="5:5">
      <c r="E891" s="6"/>
    </row>
    <row r="892" spans="5:5">
      <c r="E892" s="6"/>
    </row>
    <row r="893" spans="5:5">
      <c r="E893" s="6"/>
    </row>
    <row r="894" spans="5:5">
      <c r="E894" s="6"/>
    </row>
    <row r="895" spans="5:5">
      <c r="E895" s="6"/>
    </row>
    <row r="896" spans="5:5">
      <c r="E896" s="6"/>
    </row>
    <row r="897" spans="5:5">
      <c r="E897" s="6"/>
    </row>
    <row r="898" spans="5:5">
      <c r="E898" s="6"/>
    </row>
    <row r="899" spans="5:5">
      <c r="E899" s="6"/>
    </row>
    <row r="900" spans="5:5">
      <c r="E900" s="6"/>
    </row>
    <row r="901" spans="5:5">
      <c r="E901" s="6"/>
    </row>
    <row r="902" spans="5:5">
      <c r="E902" s="6"/>
    </row>
    <row r="903" spans="5:5">
      <c r="E903" s="6"/>
    </row>
    <row r="904" spans="5:5">
      <c r="E904" s="6"/>
    </row>
    <row r="905" spans="5:5">
      <c r="E905" s="6"/>
    </row>
    <row r="906" spans="5:5">
      <c r="E906" s="6"/>
    </row>
    <row r="907" spans="5:5">
      <c r="E907" s="6"/>
    </row>
    <row r="908" spans="5:5">
      <c r="E908" s="6"/>
    </row>
    <row r="909" spans="5:5">
      <c r="E909" s="6"/>
    </row>
    <row r="910" spans="5:5">
      <c r="E910" s="6"/>
    </row>
    <row r="911" spans="5:5">
      <c r="E911" s="6"/>
    </row>
    <row r="912" spans="5:5">
      <c r="E912" s="6"/>
    </row>
    <row r="913" spans="5:5">
      <c r="E913" s="6"/>
    </row>
    <row r="914" spans="5:5">
      <c r="E914" s="6"/>
    </row>
    <row r="915" spans="5:5">
      <c r="E915" s="6"/>
    </row>
    <row r="916" spans="5:5">
      <c r="E916" s="6"/>
    </row>
    <row r="917" spans="5:5">
      <c r="E917" s="6"/>
    </row>
    <row r="918" spans="5:5">
      <c r="E918" s="6"/>
    </row>
    <row r="919" spans="5:5">
      <c r="E919" s="6"/>
    </row>
    <row r="920" spans="5:5">
      <c r="E920" s="6"/>
    </row>
    <row r="921" spans="5:5">
      <c r="E921" s="6"/>
    </row>
    <row r="922" spans="5:5">
      <c r="E922" s="6"/>
    </row>
    <row r="923" spans="5:5">
      <c r="E923" s="6"/>
    </row>
    <row r="924" spans="5:5">
      <c r="E924" s="6"/>
    </row>
    <row r="925" spans="5:5">
      <c r="E925" s="6"/>
    </row>
    <row r="926" spans="5:5">
      <c r="E926" s="6"/>
    </row>
    <row r="927" spans="5:5">
      <c r="E927" s="6"/>
    </row>
    <row r="928" spans="5:5">
      <c r="E928" s="6"/>
    </row>
    <row r="929" spans="5:5">
      <c r="E929" s="6"/>
    </row>
    <row r="930" spans="5:5">
      <c r="E930" s="6"/>
    </row>
    <row r="931" spans="5:5">
      <c r="E931" s="6"/>
    </row>
    <row r="932" spans="5:5">
      <c r="E932" s="6"/>
    </row>
    <row r="933" spans="5:5">
      <c r="E933" s="6"/>
    </row>
    <row r="934" spans="5:5">
      <c r="E934" s="6"/>
    </row>
    <row r="935" spans="5:5">
      <c r="E935" s="6"/>
    </row>
    <row r="936" spans="5:5">
      <c r="E936" s="6"/>
    </row>
    <row r="937" spans="5:5">
      <c r="E937" s="6"/>
    </row>
    <row r="938" spans="5:5">
      <c r="E938" s="6"/>
    </row>
    <row r="939" spans="5:5">
      <c r="E939" s="6"/>
    </row>
    <row r="940" spans="5:5">
      <c r="E940" s="6"/>
    </row>
    <row r="941" spans="5:5">
      <c r="E941" s="6"/>
    </row>
    <row r="942" spans="5:5">
      <c r="E942" s="6"/>
    </row>
    <row r="943" spans="5:5">
      <c r="E943" s="6"/>
    </row>
    <row r="944" spans="5:5">
      <c r="E944" s="6"/>
    </row>
    <row r="945" spans="5:5">
      <c r="E945" s="6"/>
    </row>
    <row r="946" spans="5:5">
      <c r="E946" s="6"/>
    </row>
    <row r="947" spans="5:5">
      <c r="E947" s="6"/>
    </row>
    <row r="948" spans="5:5">
      <c r="E948" s="6"/>
    </row>
    <row r="949" spans="5:5">
      <c r="E949" s="6"/>
    </row>
    <row r="950" spans="5:5">
      <c r="E950" s="6"/>
    </row>
    <row r="951" spans="5:5">
      <c r="E951" s="6"/>
    </row>
    <row r="952" spans="5:5">
      <c r="E952" s="6"/>
    </row>
    <row r="953" spans="5:5">
      <c r="E953" s="6"/>
    </row>
    <row r="954" spans="5:5">
      <c r="E954" s="6"/>
    </row>
    <row r="955" spans="5:5">
      <c r="E955" s="6"/>
    </row>
    <row r="956" spans="5:5">
      <c r="E956" s="6"/>
    </row>
    <row r="957" spans="5:5">
      <c r="E957" s="6"/>
    </row>
    <row r="958" spans="5:5">
      <c r="E958" s="6"/>
    </row>
    <row r="959" spans="5:5">
      <c r="E959" s="6"/>
    </row>
    <row r="960" spans="5:5">
      <c r="E960" s="6"/>
    </row>
    <row r="961" spans="5:5">
      <c r="E961" s="6"/>
    </row>
    <row r="962" spans="5:5">
      <c r="E962" s="6"/>
    </row>
    <row r="963" spans="5:5">
      <c r="E963" s="6"/>
    </row>
    <row r="964" spans="5:5">
      <c r="E964" s="6"/>
    </row>
    <row r="965" spans="5:5">
      <c r="E965" s="6"/>
    </row>
    <row r="966" spans="5:5">
      <c r="E966" s="6"/>
    </row>
    <row r="967" spans="5:5">
      <c r="E967" s="6"/>
    </row>
    <row r="968" spans="5:5">
      <c r="E968" s="6"/>
    </row>
    <row r="969" spans="5:5">
      <c r="E969" s="6"/>
    </row>
    <row r="970" spans="5:5">
      <c r="E970" s="6"/>
    </row>
    <row r="971" spans="5:5">
      <c r="E971" s="6"/>
    </row>
    <row r="972" spans="5:5">
      <c r="E972" s="6"/>
    </row>
    <row r="973" spans="5:5">
      <c r="E973" s="6"/>
    </row>
    <row r="974" spans="5:5">
      <c r="E974" s="6"/>
    </row>
    <row r="975" spans="5:5">
      <c r="E975" s="6"/>
    </row>
    <row r="976" spans="5:5">
      <c r="E976" s="6"/>
    </row>
    <row r="977" spans="5:5">
      <c r="E977" s="6"/>
    </row>
    <row r="978" spans="5:5">
      <c r="E978" s="6"/>
    </row>
    <row r="979" spans="5:5">
      <c r="E979" s="6"/>
    </row>
    <row r="980" spans="5:5">
      <c r="E980" s="6"/>
    </row>
    <row r="981" spans="5:5">
      <c r="E981" s="6"/>
    </row>
    <row r="982" spans="5:5">
      <c r="E982" s="6"/>
    </row>
    <row r="983" spans="5:5">
      <c r="E983" s="6"/>
    </row>
    <row r="984" spans="5:5">
      <c r="E984" s="6"/>
    </row>
    <row r="985" spans="5:5">
      <c r="E985" s="6"/>
    </row>
    <row r="986" spans="5:5">
      <c r="E986" s="6"/>
    </row>
    <row r="987" spans="5:5">
      <c r="E987" s="6"/>
    </row>
    <row r="988" spans="5:5">
      <c r="E988" s="6"/>
    </row>
    <row r="989" spans="5:5">
      <c r="E989" s="6"/>
    </row>
    <row r="990" spans="5:5">
      <c r="E990" s="6"/>
    </row>
    <row r="991" spans="5:5">
      <c r="E991" s="6"/>
    </row>
    <row r="992" spans="5:5">
      <c r="E992" s="6"/>
    </row>
    <row r="993" spans="5:5">
      <c r="E993" s="6"/>
    </row>
    <row r="994" spans="5:5">
      <c r="E994" s="6"/>
    </row>
    <row r="995" spans="5:5">
      <c r="E995" s="6"/>
    </row>
    <row r="996" spans="5:5">
      <c r="E996" s="6"/>
    </row>
    <row r="997" spans="5:5">
      <c r="E997" s="6"/>
    </row>
    <row r="998" spans="5:5">
      <c r="E998" s="6"/>
    </row>
    <row r="999" spans="5:5">
      <c r="E999" s="6"/>
    </row>
    <row r="1000" spans="5:5">
      <c r="E1000" s="6"/>
    </row>
    <row r="1001" spans="5:5">
      <c r="E1001" s="6"/>
    </row>
    <row r="1002" spans="5:5">
      <c r="E1002" s="6"/>
    </row>
    <row r="1003" spans="5:5">
      <c r="E1003" s="6"/>
    </row>
    <row r="1004" spans="5:5">
      <c r="E1004" s="6"/>
    </row>
    <row r="1005" spans="5:5">
      <c r="E1005" s="6"/>
    </row>
    <row r="1006" spans="5:5">
      <c r="E1006" s="6"/>
    </row>
    <row r="1007" spans="5:5">
      <c r="E1007" s="6"/>
    </row>
    <row r="1008" spans="5:5">
      <c r="E1008" s="6"/>
    </row>
    <row r="1009" spans="5:5">
      <c r="E1009" s="6"/>
    </row>
    <row r="1010" spans="5:5">
      <c r="E1010" s="6"/>
    </row>
    <row r="1011" spans="5:5">
      <c r="E1011" s="6"/>
    </row>
    <row r="1012" spans="5:5">
      <c r="E1012" s="6"/>
    </row>
    <row r="1013" spans="5:5">
      <c r="E1013" s="6"/>
    </row>
    <row r="1014" spans="5:5">
      <c r="E1014" s="6"/>
    </row>
    <row r="1015" spans="5:5">
      <c r="E1015" s="6"/>
    </row>
    <row r="1016" spans="5:5">
      <c r="E1016" s="6"/>
    </row>
    <row r="1017" spans="5:5">
      <c r="E1017" s="6"/>
    </row>
    <row r="1018" spans="5:5">
      <c r="E1018" s="6"/>
    </row>
    <row r="1019" spans="5:5">
      <c r="E1019" s="6"/>
    </row>
    <row r="1020" spans="5:5">
      <c r="E1020" s="6"/>
    </row>
    <row r="1021" spans="5:5">
      <c r="E1021" s="6"/>
    </row>
    <row r="1022" spans="5:5">
      <c r="E1022" s="6"/>
    </row>
    <row r="1023" spans="5:5">
      <c r="E1023" s="6"/>
    </row>
    <row r="1024" spans="5:5">
      <c r="E1024" s="6"/>
    </row>
    <row r="1025" spans="5:5">
      <c r="E1025" s="6"/>
    </row>
    <row r="1026" spans="5:5">
      <c r="E1026" s="6"/>
    </row>
    <row r="1027" spans="5:5">
      <c r="E1027" s="6"/>
    </row>
    <row r="1028" spans="5:5">
      <c r="E1028" s="6"/>
    </row>
    <row r="1029" spans="5:5">
      <c r="E1029" s="6"/>
    </row>
    <row r="1030" spans="5:5">
      <c r="E1030" s="6"/>
    </row>
    <row r="1031" spans="5:5">
      <c r="E1031" s="6"/>
    </row>
    <row r="1032" spans="5:5">
      <c r="E1032" s="6"/>
    </row>
    <row r="1033" spans="5:5">
      <c r="E1033" s="6"/>
    </row>
    <row r="1034" spans="5:5">
      <c r="E1034" s="6"/>
    </row>
    <row r="1035" spans="5:5">
      <c r="E1035" s="6"/>
    </row>
    <row r="1036" spans="5:5">
      <c r="E1036" s="6"/>
    </row>
    <row r="1037" spans="5:5">
      <c r="E1037" s="6"/>
    </row>
    <row r="1038" spans="5:5">
      <c r="E1038" s="6"/>
    </row>
    <row r="1039" spans="5:5">
      <c r="E1039" s="6"/>
    </row>
    <row r="1040" spans="5:5">
      <c r="E1040" s="6"/>
    </row>
    <row r="1041" spans="5:5">
      <c r="E1041" s="6"/>
    </row>
    <row r="1042" spans="5:5">
      <c r="E1042" s="6"/>
    </row>
    <row r="1043" spans="5:5">
      <c r="E1043" s="6"/>
    </row>
    <row r="1044" spans="5:5">
      <c r="E1044" s="6"/>
    </row>
    <row r="1045" spans="5:5">
      <c r="E1045" s="6"/>
    </row>
    <row r="1046" spans="5:5">
      <c r="E1046" s="6"/>
    </row>
    <row r="1047" spans="5:5">
      <c r="E1047" s="6"/>
    </row>
    <row r="1048" spans="5:5">
      <c r="E1048" s="6"/>
    </row>
    <row r="1049" spans="5:5">
      <c r="E1049" s="6"/>
    </row>
    <row r="1050" spans="5:5">
      <c r="E1050" s="6"/>
    </row>
    <row r="1051" spans="5:5">
      <c r="E1051" s="6"/>
    </row>
    <row r="1052" spans="5:5">
      <c r="E1052" s="6"/>
    </row>
    <row r="1053" spans="5:5">
      <c r="E1053" s="6"/>
    </row>
    <row r="1054" spans="5:5">
      <c r="E1054" s="6"/>
    </row>
    <row r="1055" spans="5:5">
      <c r="E1055" s="6"/>
    </row>
    <row r="1056" spans="5:5">
      <c r="E1056" s="6"/>
    </row>
    <row r="1057" spans="5:5">
      <c r="E1057" s="6"/>
    </row>
    <row r="1058" spans="5:5">
      <c r="E1058" s="6"/>
    </row>
    <row r="1059" spans="5:5">
      <c r="E1059" s="6"/>
    </row>
    <row r="1060" spans="5:5">
      <c r="E1060" s="6"/>
    </row>
    <row r="1061" spans="5:5">
      <c r="E1061" s="6"/>
    </row>
    <row r="1062" spans="5:5">
      <c r="E1062" s="6"/>
    </row>
    <row r="1063" spans="5:5">
      <c r="E1063" s="6"/>
    </row>
    <row r="1064" spans="5:5">
      <c r="E1064" s="6"/>
    </row>
    <row r="1065" spans="5:5">
      <c r="E1065" s="6"/>
    </row>
    <row r="1066" spans="5:5">
      <c r="E1066" s="6"/>
    </row>
    <row r="1067" spans="5:5">
      <c r="E1067" s="6"/>
    </row>
    <row r="1068" spans="5:5">
      <c r="E1068" s="6"/>
    </row>
    <row r="1069" spans="5:5">
      <c r="E1069" s="6"/>
    </row>
    <row r="1070" spans="5:5">
      <c r="E1070" s="6"/>
    </row>
    <row r="1071" spans="5:5">
      <c r="E1071" s="6"/>
    </row>
    <row r="1072" spans="5:5">
      <c r="E1072" s="6"/>
    </row>
    <row r="1073" spans="5:5">
      <c r="E1073" s="6"/>
    </row>
    <row r="1074" spans="5:5">
      <c r="E1074" s="6"/>
    </row>
    <row r="1075" spans="5:5">
      <c r="E1075" s="6"/>
    </row>
    <row r="1076" spans="5:5">
      <c r="E1076" s="6"/>
    </row>
    <row r="1077" spans="5:5">
      <c r="E1077" s="6"/>
    </row>
    <row r="1078" spans="5:5">
      <c r="E1078" s="6"/>
    </row>
    <row r="1079" spans="5:5">
      <c r="E1079" s="6"/>
    </row>
    <row r="1080" spans="5:5">
      <c r="E1080" s="6"/>
    </row>
    <row r="1081" spans="5:5">
      <c r="E1081" s="6"/>
    </row>
    <row r="1082" spans="5:5">
      <c r="E1082" s="6"/>
    </row>
    <row r="1083" spans="5:5">
      <c r="E1083" s="6"/>
    </row>
    <row r="1084" spans="5:5">
      <c r="E1084" s="6"/>
    </row>
    <row r="1085" spans="5:5">
      <c r="E1085" s="6"/>
    </row>
    <row r="1086" spans="5:5">
      <c r="E1086" s="6"/>
    </row>
    <row r="1087" spans="5:5">
      <c r="E1087" s="6"/>
    </row>
    <row r="1088" spans="5:5">
      <c r="E1088" s="6"/>
    </row>
    <row r="1089" spans="5:5">
      <c r="E1089" s="6"/>
    </row>
    <row r="1090" spans="5:5">
      <c r="E1090" s="6"/>
    </row>
    <row r="1091" spans="5:5">
      <c r="E1091" s="6"/>
    </row>
    <row r="1092" spans="5:5">
      <c r="E1092" s="6"/>
    </row>
    <row r="1093" spans="5:5">
      <c r="E1093" s="6"/>
    </row>
    <row r="1094" spans="5:5">
      <c r="E1094" s="6"/>
    </row>
    <row r="1095" spans="5:5">
      <c r="E1095" s="6"/>
    </row>
    <row r="1096" spans="5:5">
      <c r="E1096" s="6"/>
    </row>
    <row r="1097" spans="5:5">
      <c r="E1097" s="6"/>
    </row>
    <row r="1098" spans="5:5">
      <c r="E1098" s="6"/>
    </row>
    <row r="1099" spans="5:5">
      <c r="E1099" s="6"/>
    </row>
    <row r="1100" spans="5:5">
      <c r="E1100" s="6"/>
    </row>
    <row r="1101" spans="5:5">
      <c r="E1101" s="6"/>
    </row>
    <row r="1102" spans="5:5">
      <c r="E1102" s="6"/>
    </row>
    <row r="1103" spans="5:5">
      <c r="E1103" s="6"/>
    </row>
    <row r="1104" spans="5:5">
      <c r="E1104" s="6"/>
    </row>
    <row r="1105" spans="5:5">
      <c r="E1105" s="6"/>
    </row>
    <row r="1106" spans="5:5">
      <c r="E1106" s="6"/>
    </row>
    <row r="1107" spans="5:5">
      <c r="E1107" s="6"/>
    </row>
    <row r="1108" spans="5:5">
      <c r="E1108" s="6"/>
    </row>
    <row r="1109" spans="5:5">
      <c r="E1109" s="6"/>
    </row>
    <row r="1110" spans="5:5">
      <c r="E1110" s="6"/>
    </row>
    <row r="1111" spans="5:5">
      <c r="E1111" s="6"/>
    </row>
    <row r="1112" spans="5:5">
      <c r="E1112" s="6"/>
    </row>
    <row r="1113" spans="5:5">
      <c r="E1113" s="6"/>
    </row>
    <row r="1114" spans="5:5">
      <c r="E1114" s="6"/>
    </row>
    <row r="1115" spans="5:5">
      <c r="E1115" s="6"/>
    </row>
    <row r="1116" spans="5:5">
      <c r="E1116" s="6"/>
    </row>
    <row r="1117" spans="5:5">
      <c r="E1117" s="6"/>
    </row>
    <row r="1118" spans="5:5">
      <c r="E1118" s="6"/>
    </row>
    <row r="1119" spans="5:5">
      <c r="E1119" s="6"/>
    </row>
    <row r="1120" spans="5:5">
      <c r="E1120" s="6"/>
    </row>
    <row r="1121" spans="5:5">
      <c r="E1121" s="6"/>
    </row>
    <row r="1122" spans="5:5">
      <c r="E1122" s="6"/>
    </row>
    <row r="1123" spans="5:5">
      <c r="E1123" s="6"/>
    </row>
    <row r="1124" spans="5:5">
      <c r="E1124" s="6"/>
    </row>
    <row r="1125" spans="5:5">
      <c r="E1125" s="6"/>
    </row>
  </sheetData>
  <sheetProtection algorithmName="SHA-512" hashValue="Hq3T03bgZP/SE1Ad3iBepwcLA1xlQG2noaa26eC7zEOFo0T+vdC1kBaBHYPQwVTCN2o1rgrbTb9tUNLCvKYXrQ==" saltValue="CoF3mHBHCX4S1jm6DMsfiA==" spinCount="100000" sheet="1" objects="1" scenarios="1" selectLockedCell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DE5D-A4BC-49C3-B342-63A6895AD864}">
  <dimension ref="D5:L983"/>
  <sheetViews>
    <sheetView topLeftCell="A711" workbookViewId="0">
      <selection activeCell="P719" sqref="P719"/>
    </sheetView>
  </sheetViews>
  <sheetFormatPr baseColWidth="10" defaultColWidth="11.5" defaultRowHeight="15"/>
  <cols>
    <col min="1" max="3" width="11.5" style="15"/>
    <col min="4" max="4" width="28.83203125" style="15" customWidth="1"/>
    <col min="5" max="5" width="11.5" style="21"/>
    <col min="6" max="7" width="11.5" style="15"/>
    <col min="8" max="8" width="17" style="15" customWidth="1"/>
    <col min="9" max="9" width="12" style="21" bestFit="1" customWidth="1"/>
    <col min="10" max="10" width="11.5" style="15"/>
    <col min="11" max="11" width="19.83203125" style="15" customWidth="1"/>
    <col min="12" max="12" width="12.33203125" style="15" bestFit="1" customWidth="1"/>
    <col min="13" max="16384" width="11.5" style="15"/>
  </cols>
  <sheetData>
    <row r="5" spans="4:9">
      <c r="I5" s="21" t="s">
        <v>725</v>
      </c>
    </row>
    <row r="6" spans="4:9">
      <c r="I6" s="21" t="s">
        <v>726</v>
      </c>
    </row>
    <row r="7" spans="4:9">
      <c r="D7" s="16" t="s">
        <v>0</v>
      </c>
      <c r="E7" s="22" t="s">
        <v>727</v>
      </c>
      <c r="F7" s="16" t="s">
        <v>728</v>
      </c>
      <c r="G7" s="16" t="s">
        <v>729</v>
      </c>
      <c r="I7" s="21" t="s">
        <v>730</v>
      </c>
    </row>
    <row r="8" spans="4:9">
      <c r="D8" s="15" t="s">
        <v>4</v>
      </c>
      <c r="E8" s="21">
        <v>0</v>
      </c>
      <c r="F8" s="15">
        <f>Tabelle1!E7-Hoja1!E8</f>
        <v>8.4404519999999997E-2</v>
      </c>
      <c r="G8" s="15">
        <f>ABS(F8)</f>
        <v>8.4404519999999997E-2</v>
      </c>
      <c r="I8" s="21">
        <v>0</v>
      </c>
    </row>
    <row r="9" spans="4:9">
      <c r="D9" s="15" t="s">
        <v>5</v>
      </c>
      <c r="E9" s="21">
        <v>0</v>
      </c>
      <c r="F9" s="15">
        <f>Tabelle1!E8-Hoja1!E9</f>
        <v>8.4404519999999997E-2</v>
      </c>
      <c r="G9" s="15">
        <f t="shared" ref="G9:G72" si="0">ABS(F9)</f>
        <v>8.4404519999999997E-2</v>
      </c>
      <c r="I9" s="21">
        <v>0</v>
      </c>
    </row>
    <row r="10" spans="4:9">
      <c r="D10" s="15" t="s">
        <v>7</v>
      </c>
      <c r="E10" s="21">
        <v>0</v>
      </c>
      <c r="F10" s="15">
        <f>Tabelle1!E9-Hoja1!E10</f>
        <v>8.4404519999999997E-2</v>
      </c>
      <c r="G10" s="15">
        <f t="shared" si="0"/>
        <v>8.4404519999999997E-2</v>
      </c>
      <c r="I10" s="21">
        <v>0</v>
      </c>
    </row>
    <row r="11" spans="4:9">
      <c r="D11" s="15" t="s">
        <v>8</v>
      </c>
      <c r="E11" s="21">
        <v>0</v>
      </c>
      <c r="F11" s="15">
        <f>Tabelle1!E10-Hoja1!E11</f>
        <v>8.4404519999999997E-2</v>
      </c>
      <c r="G11" s="15">
        <f t="shared" si="0"/>
        <v>8.4404519999999997E-2</v>
      </c>
      <c r="I11" s="21">
        <v>0</v>
      </c>
    </row>
    <row r="12" spans="4:9">
      <c r="D12" s="15" t="s">
        <v>9</v>
      </c>
      <c r="E12" s="21">
        <v>0</v>
      </c>
      <c r="F12" s="15">
        <f>Tabelle1!E11-Hoja1!E12</f>
        <v>8.4404519999999997E-2</v>
      </c>
      <c r="G12" s="15">
        <f t="shared" si="0"/>
        <v>8.4404519999999997E-2</v>
      </c>
      <c r="I12" s="21">
        <v>0</v>
      </c>
    </row>
    <row r="13" spans="4:9">
      <c r="D13" s="15" t="s">
        <v>10</v>
      </c>
      <c r="E13" s="21">
        <v>0</v>
      </c>
      <c r="F13" s="15">
        <f>Tabelle1!E12-Hoja1!E13</f>
        <v>8.4404519999999997E-2</v>
      </c>
      <c r="G13" s="15">
        <f t="shared" si="0"/>
        <v>8.4404519999999997E-2</v>
      </c>
      <c r="I13" s="21">
        <v>0</v>
      </c>
    </row>
    <row r="14" spans="4:9">
      <c r="D14" s="15" t="s">
        <v>11</v>
      </c>
      <c r="E14" s="21">
        <v>0</v>
      </c>
      <c r="F14" s="15">
        <f>Tabelle1!E13-Hoja1!E14</f>
        <v>8.4404519999999997E-2</v>
      </c>
      <c r="G14" s="15">
        <f t="shared" si="0"/>
        <v>8.4404519999999997E-2</v>
      </c>
      <c r="I14" s="21">
        <v>0</v>
      </c>
    </row>
    <row r="15" spans="4:9">
      <c r="D15" s="15" t="s">
        <v>12</v>
      </c>
      <c r="E15" s="21">
        <v>0</v>
      </c>
      <c r="F15" s="15">
        <f>Tabelle1!E14-Hoja1!E15</f>
        <v>8.4404519999999997E-2</v>
      </c>
      <c r="G15" s="15">
        <f t="shared" si="0"/>
        <v>8.4404519999999997E-2</v>
      </c>
      <c r="I15" s="21">
        <v>0</v>
      </c>
    </row>
    <row r="16" spans="4:9">
      <c r="D16" s="15" t="s">
        <v>13</v>
      </c>
      <c r="E16" s="21">
        <v>0</v>
      </c>
      <c r="F16" s="15">
        <f>Tabelle1!E15-Hoja1!E16</f>
        <v>8.4404519999999997E-2</v>
      </c>
      <c r="G16" s="15">
        <f t="shared" si="0"/>
        <v>8.4404519999999997E-2</v>
      </c>
      <c r="I16" s="21">
        <v>0.10999999998602999</v>
      </c>
    </row>
    <row r="17" spans="4:9">
      <c r="D17" s="15" t="s">
        <v>14</v>
      </c>
      <c r="E17" s="21">
        <v>7.3280937379716002</v>
      </c>
      <c r="F17" s="15">
        <f>Tabelle1!E16-Hoja1!E17</f>
        <v>-7.1542647779716004</v>
      </c>
      <c r="G17" s="15">
        <f t="shared" si="0"/>
        <v>7.1542647779716004</v>
      </c>
      <c r="I17" s="21">
        <v>6.0499999999883496</v>
      </c>
    </row>
    <row r="18" spans="4:9">
      <c r="D18" s="15" t="s">
        <v>15</v>
      </c>
      <c r="E18" s="21">
        <v>20.9583181375931</v>
      </c>
      <c r="F18" s="15">
        <f>Tabelle1!E17-Hoja1!E18</f>
        <v>-21.1708654275931</v>
      </c>
      <c r="G18" s="15">
        <f t="shared" si="0"/>
        <v>21.1708654275931</v>
      </c>
      <c r="I18" s="21">
        <v>20.559999999997601</v>
      </c>
    </row>
    <row r="19" spans="4:9">
      <c r="D19" s="15" t="s">
        <v>16</v>
      </c>
      <c r="E19" s="21">
        <v>22.1486418298209</v>
      </c>
      <c r="F19" s="15">
        <f>Tabelle1!E18-Hoja1!E19</f>
        <v>-22.2611754898209</v>
      </c>
      <c r="G19" s="15">
        <f t="shared" si="0"/>
        <v>22.2611754898209</v>
      </c>
      <c r="I19" s="21">
        <v>26.050000000046499</v>
      </c>
    </row>
    <row r="20" spans="4:9">
      <c r="D20" s="15" t="s">
        <v>17</v>
      </c>
      <c r="E20" s="21">
        <v>98.137832308737998</v>
      </c>
      <c r="F20" s="15">
        <f>Tabelle1!E19-Hoja1!E20</f>
        <v>-98.250365968737995</v>
      </c>
      <c r="G20" s="15">
        <f t="shared" si="0"/>
        <v>98.250365968737995</v>
      </c>
      <c r="I20" s="21">
        <v>13.1399999999557</v>
      </c>
    </row>
    <row r="21" spans="4:9">
      <c r="D21" s="15" t="s">
        <v>18</v>
      </c>
      <c r="E21" s="21">
        <v>111.102561890846</v>
      </c>
      <c r="F21" s="15">
        <f>Tabelle1!E20-Hoja1!E21</f>
        <v>-111.215095550846</v>
      </c>
      <c r="G21" s="15">
        <f t="shared" si="0"/>
        <v>111.215095550846</v>
      </c>
      <c r="I21" s="21">
        <v>31.260000000009299</v>
      </c>
    </row>
    <row r="22" spans="4:9">
      <c r="D22" s="15" t="s">
        <v>19</v>
      </c>
      <c r="E22" s="21">
        <v>97.856901027431604</v>
      </c>
      <c r="F22" s="15">
        <f>Tabelle1!E21-Hoja1!E22</f>
        <v>-97.969434687431601</v>
      </c>
      <c r="G22" s="15">
        <f t="shared" si="0"/>
        <v>97.969434687431601</v>
      </c>
      <c r="I22" s="21">
        <v>36.669999999983702</v>
      </c>
    </row>
    <row r="23" spans="4:9">
      <c r="D23" s="15" t="s">
        <v>20</v>
      </c>
      <c r="E23" s="21">
        <v>110.899203120148</v>
      </c>
      <c r="F23" s="15">
        <f>Tabelle1!E22-Hoja1!E23</f>
        <v>-111.011736780148</v>
      </c>
      <c r="G23" s="15">
        <f t="shared" si="0"/>
        <v>111.011736780148</v>
      </c>
      <c r="I23" s="21">
        <v>16.8500000000349</v>
      </c>
    </row>
    <row r="24" spans="4:9">
      <c r="D24" s="15" t="s">
        <v>21</v>
      </c>
      <c r="E24" s="21">
        <v>108.022870362942</v>
      </c>
      <c r="F24" s="15">
        <f>Tabelle1!E23-Hoja1!E24</f>
        <v>-108.135404022942</v>
      </c>
      <c r="G24" s="15">
        <f t="shared" si="0"/>
        <v>108.135404022942</v>
      </c>
      <c r="I24" s="21">
        <v>14.1300000000046</v>
      </c>
    </row>
    <row r="25" spans="4:9">
      <c r="D25" s="15" t="s">
        <v>22</v>
      </c>
      <c r="E25" s="21">
        <v>98.451322474851906</v>
      </c>
      <c r="F25" s="15">
        <f>Tabelle1!E24-Hoja1!E25</f>
        <v>-98.563856134851903</v>
      </c>
      <c r="G25" s="15">
        <f t="shared" si="0"/>
        <v>98.563856134851903</v>
      </c>
      <c r="I25" s="21">
        <v>12.209999999962699</v>
      </c>
    </row>
    <row r="26" spans="4:9">
      <c r="D26" s="15" t="s">
        <v>23</v>
      </c>
      <c r="E26" s="21">
        <v>70.658882262688294</v>
      </c>
      <c r="F26" s="15">
        <f>Tabelle1!E25-Hoja1!E26</f>
        <v>-70.733462872688293</v>
      </c>
      <c r="G26" s="15">
        <f t="shared" si="0"/>
        <v>70.733462872688293</v>
      </c>
      <c r="I26" s="21">
        <v>83.430000000051194</v>
      </c>
    </row>
    <row r="27" spans="4:9">
      <c r="D27" s="15" t="s">
        <v>24</v>
      </c>
      <c r="E27" s="21">
        <v>45.751411657039803</v>
      </c>
      <c r="F27" s="15">
        <f>Tabelle1!E26-Hoja1!E27</f>
        <v>-45.594267337039803</v>
      </c>
      <c r="G27" s="15">
        <f t="shared" si="0"/>
        <v>45.594267337039803</v>
      </c>
      <c r="I27" s="21">
        <v>46.619999999995301</v>
      </c>
    </row>
    <row r="28" spans="4:9">
      <c r="D28" s="15" t="s">
        <v>25</v>
      </c>
      <c r="E28" s="21">
        <v>18.0819418210761</v>
      </c>
      <c r="F28" s="15">
        <f>Tabelle1!E27-Hoja1!E28</f>
        <v>-17.957081735076098</v>
      </c>
      <c r="G28" s="15">
        <f t="shared" si="0"/>
        <v>17.957081735076098</v>
      </c>
      <c r="I28" s="21">
        <v>19.229999999981299</v>
      </c>
    </row>
    <row r="29" spans="4:9">
      <c r="D29" s="15" t="s">
        <v>26</v>
      </c>
      <c r="E29" s="21">
        <v>1.9539404503851201</v>
      </c>
      <c r="F29" s="15">
        <f>Tabelle1!E28-Hoja1!E29</f>
        <v>-1.79421581038512</v>
      </c>
      <c r="G29" s="15">
        <f t="shared" si="0"/>
        <v>1.79421581038512</v>
      </c>
      <c r="I29" s="21">
        <v>2.4299999999930102</v>
      </c>
    </row>
    <row r="30" spans="4:9">
      <c r="D30" s="15" t="s">
        <v>27</v>
      </c>
      <c r="E30" s="21">
        <v>0</v>
      </c>
      <c r="F30" s="15">
        <f>Tabelle1!E29-Hoja1!E30</f>
        <v>0.1681821</v>
      </c>
      <c r="G30" s="15">
        <f t="shared" si="0"/>
        <v>0.1681821</v>
      </c>
      <c r="I30" s="21">
        <v>0</v>
      </c>
    </row>
    <row r="31" spans="4:9">
      <c r="D31" s="15" t="s">
        <v>28</v>
      </c>
      <c r="E31" s="21">
        <v>0</v>
      </c>
      <c r="F31" s="15">
        <f>Tabelle1!E30-Hoja1!E31</f>
        <v>0.1681821</v>
      </c>
      <c r="G31" s="15">
        <f t="shared" si="0"/>
        <v>0.1681821</v>
      </c>
      <c r="I31" s="21">
        <v>0</v>
      </c>
    </row>
    <row r="32" spans="4:9">
      <c r="D32" s="15" t="s">
        <v>29</v>
      </c>
      <c r="E32" s="21">
        <v>0</v>
      </c>
      <c r="F32" s="15">
        <f>Tabelle1!E31-Hoja1!E32</f>
        <v>7.803707E-2</v>
      </c>
      <c r="G32" s="15">
        <f t="shared" si="0"/>
        <v>7.803707E-2</v>
      </c>
      <c r="I32" s="21">
        <v>0</v>
      </c>
    </row>
    <row r="33" spans="4:9">
      <c r="D33" s="15" t="s">
        <v>30</v>
      </c>
      <c r="E33" s="21">
        <v>0</v>
      </c>
      <c r="F33" s="15">
        <f>Tabelle1!E32-Hoja1!E33</f>
        <v>7.803707E-2</v>
      </c>
      <c r="G33" s="15">
        <f t="shared" si="0"/>
        <v>7.803707E-2</v>
      </c>
      <c r="I33" s="21">
        <v>0</v>
      </c>
    </row>
    <row r="34" spans="4:9">
      <c r="D34" s="15" t="s">
        <v>31</v>
      </c>
      <c r="E34" s="21">
        <v>0</v>
      </c>
      <c r="F34" s="15">
        <f>Tabelle1!E33-Hoja1!E34</f>
        <v>7.803707E-2</v>
      </c>
      <c r="G34" s="15">
        <f t="shared" si="0"/>
        <v>7.803707E-2</v>
      </c>
      <c r="I34" s="21">
        <v>0</v>
      </c>
    </row>
    <row r="35" spans="4:9">
      <c r="D35" s="15" t="s">
        <v>32</v>
      </c>
      <c r="E35" s="21">
        <v>0</v>
      </c>
      <c r="F35" s="15">
        <f>Tabelle1!E34-Hoja1!E35</f>
        <v>7.803707E-2</v>
      </c>
      <c r="G35" s="15">
        <f t="shared" si="0"/>
        <v>7.803707E-2</v>
      </c>
      <c r="I35" s="21">
        <v>0</v>
      </c>
    </row>
    <row r="36" spans="4:9">
      <c r="D36" s="15" t="s">
        <v>33</v>
      </c>
      <c r="E36" s="21">
        <v>0</v>
      </c>
      <c r="F36" s="15">
        <f>Tabelle1!E35-Hoja1!E36</f>
        <v>7.803707E-2</v>
      </c>
      <c r="G36" s="15">
        <f t="shared" si="0"/>
        <v>7.803707E-2</v>
      </c>
      <c r="I36" s="21">
        <v>0</v>
      </c>
    </row>
    <row r="37" spans="4:9">
      <c r="D37" s="15" t="s">
        <v>34</v>
      </c>
      <c r="E37" s="21">
        <v>0</v>
      </c>
      <c r="F37" s="15">
        <f>Tabelle1!E36-Hoja1!E37</f>
        <v>7.803707E-2</v>
      </c>
      <c r="G37" s="15">
        <f t="shared" si="0"/>
        <v>7.803707E-2</v>
      </c>
      <c r="I37" s="21">
        <v>0</v>
      </c>
    </row>
    <row r="38" spans="4:9">
      <c r="D38" s="15" t="s">
        <v>35</v>
      </c>
      <c r="E38" s="21">
        <v>0</v>
      </c>
      <c r="F38" s="15">
        <f>Tabelle1!E37-Hoja1!E38</f>
        <v>7.803707E-2</v>
      </c>
      <c r="G38" s="15">
        <f t="shared" si="0"/>
        <v>7.803707E-2</v>
      </c>
      <c r="I38" s="21">
        <v>0</v>
      </c>
    </row>
    <row r="39" spans="4:9">
      <c r="D39" s="15" t="s">
        <v>36</v>
      </c>
      <c r="E39" s="21">
        <v>0</v>
      </c>
      <c r="F39" s="15">
        <f>Tabelle1!E38-Hoja1!E39</f>
        <v>7.803707E-2</v>
      </c>
      <c r="G39" s="15">
        <f t="shared" si="0"/>
        <v>7.803707E-2</v>
      </c>
      <c r="I39" s="21">
        <v>0</v>
      </c>
    </row>
    <row r="40" spans="4:9">
      <c r="D40" s="15" t="s">
        <v>37</v>
      </c>
      <c r="E40" s="21">
        <v>0</v>
      </c>
      <c r="F40" s="15">
        <f>Tabelle1!E39-Hoja1!E40</f>
        <v>7.803707E-2</v>
      </c>
      <c r="G40" s="15">
        <f t="shared" si="0"/>
        <v>7.803707E-2</v>
      </c>
      <c r="I40" s="21">
        <v>0.260000000009313</v>
      </c>
    </row>
    <row r="41" spans="4:9">
      <c r="D41" s="15" t="s">
        <v>38</v>
      </c>
      <c r="E41" s="21">
        <v>7.8078788111788597</v>
      </c>
      <c r="F41" s="15">
        <f>Tabelle1!E40-Hoja1!E41</f>
        <v>-7.6404173111788598</v>
      </c>
      <c r="G41" s="15">
        <f t="shared" si="0"/>
        <v>7.6404173111788598</v>
      </c>
      <c r="I41" s="21">
        <v>6.7399999999906797</v>
      </c>
    </row>
    <row r="42" spans="4:9">
      <c r="D42" s="15" t="s">
        <v>39</v>
      </c>
      <c r="E42" s="21">
        <v>36.887019897247399</v>
      </c>
      <c r="F42" s="15">
        <f>Tabelle1!E41-Hoja1!E42</f>
        <v>-37.245476197247399</v>
      </c>
      <c r="G42" s="15">
        <f t="shared" si="0"/>
        <v>37.245476197247399</v>
      </c>
      <c r="I42" s="21">
        <v>34.640000000013899</v>
      </c>
    </row>
    <row r="43" spans="4:9">
      <c r="D43" s="15" t="s">
        <v>40</v>
      </c>
      <c r="E43" s="21">
        <v>78.207131140181104</v>
      </c>
      <c r="F43" s="15">
        <f>Tabelle1!E42-Hoja1!E43</f>
        <v>-78.962979910181105</v>
      </c>
      <c r="G43" s="15">
        <f t="shared" si="0"/>
        <v>78.962979910181105</v>
      </c>
      <c r="I43" s="21">
        <v>70.799999999988302</v>
      </c>
    </row>
    <row r="44" spans="4:9">
      <c r="D44" s="15" t="s">
        <v>41</v>
      </c>
      <c r="E44" s="21">
        <v>107.32349218969701</v>
      </c>
      <c r="F44" s="15">
        <f>Tabelle1!E43-Hoja1!E44</f>
        <v>-108.07934095969701</v>
      </c>
      <c r="G44" s="15">
        <f t="shared" si="0"/>
        <v>108.07934095969701</v>
      </c>
      <c r="I44" s="21">
        <v>107.859999999986</v>
      </c>
    </row>
    <row r="45" spans="4:9">
      <c r="D45" s="15" t="s">
        <v>42</v>
      </c>
      <c r="E45" s="21">
        <v>121.981797553052</v>
      </c>
      <c r="F45" s="15">
        <f>Tabelle1!E44-Hoja1!E45</f>
        <v>-122.737646323052</v>
      </c>
      <c r="G45" s="15">
        <f t="shared" si="0"/>
        <v>122.737646323052</v>
      </c>
      <c r="I45" s="21">
        <v>125.280000000027</v>
      </c>
    </row>
    <row r="46" spans="4:9">
      <c r="D46" s="15" t="s">
        <v>43</v>
      </c>
      <c r="E46" s="21">
        <v>123.906372119746</v>
      </c>
      <c r="F46" s="15">
        <f>Tabelle1!E45-Hoja1!E46</f>
        <v>-124.662220889746</v>
      </c>
      <c r="G46" s="15">
        <f t="shared" si="0"/>
        <v>124.662220889746</v>
      </c>
      <c r="I46" s="21">
        <v>127.190000000002</v>
      </c>
    </row>
    <row r="47" spans="4:9">
      <c r="D47" s="15" t="s">
        <v>44</v>
      </c>
      <c r="E47" s="21">
        <v>121.990472641471</v>
      </c>
      <c r="F47" s="15">
        <f>Tabelle1!E46-Hoja1!E47</f>
        <v>-122.746321411471</v>
      </c>
      <c r="G47" s="15">
        <f t="shared" si="0"/>
        <v>122.746321411471</v>
      </c>
      <c r="I47" s="21">
        <v>111.48999999999</v>
      </c>
    </row>
    <row r="48" spans="4:9">
      <c r="D48" s="15" t="s">
        <v>45</v>
      </c>
      <c r="E48" s="21">
        <v>116.741912102567</v>
      </c>
      <c r="F48" s="15">
        <f>Tabelle1!E47-Hoja1!E48</f>
        <v>-117.497760872567</v>
      </c>
      <c r="G48" s="15">
        <f t="shared" si="0"/>
        <v>117.497760872567</v>
      </c>
      <c r="I48" s="21">
        <v>123.609999999986</v>
      </c>
    </row>
    <row r="49" spans="4:9">
      <c r="D49" s="15" t="s">
        <v>46</v>
      </c>
      <c r="E49" s="21">
        <v>107.219218678807</v>
      </c>
      <c r="F49" s="15">
        <f>Tabelle1!E48-Hoja1!E49</f>
        <v>-107.975067448807</v>
      </c>
      <c r="G49" s="15">
        <f t="shared" si="0"/>
        <v>107.975067448807</v>
      </c>
      <c r="I49" s="21">
        <v>116.119999999995</v>
      </c>
    </row>
    <row r="50" spans="4:9">
      <c r="D50" s="15" t="s">
        <v>47</v>
      </c>
      <c r="E50" s="21">
        <v>75.036734258180104</v>
      </c>
      <c r="F50" s="15">
        <f>Tabelle1!E49-Hoja1!E50</f>
        <v>-75.7021559581801</v>
      </c>
      <c r="G50" s="15">
        <f t="shared" si="0"/>
        <v>75.7021559581801</v>
      </c>
      <c r="I50" s="21">
        <v>95.040000000037196</v>
      </c>
    </row>
    <row r="51" spans="4:9">
      <c r="D51" s="15" t="s">
        <v>48</v>
      </c>
      <c r="E51" s="21">
        <v>47.1995388873218</v>
      </c>
      <c r="F51" s="15">
        <f>Tabelle1!E50-Hoja1!E51</f>
        <v>-47.462474557321798</v>
      </c>
      <c r="G51" s="15">
        <f t="shared" si="0"/>
        <v>47.462474557321798</v>
      </c>
      <c r="I51" s="21">
        <v>59.919999999983702</v>
      </c>
    </row>
    <row r="52" spans="4:9">
      <c r="D52" s="15" t="s">
        <v>49</v>
      </c>
      <c r="E52" s="21">
        <v>19.8371898553129</v>
      </c>
      <c r="F52" s="15">
        <f>Tabelle1!E51-Hoja1!E52</f>
        <v>-19.8629590243129</v>
      </c>
      <c r="G52" s="15">
        <f t="shared" si="0"/>
        <v>19.8629590243129</v>
      </c>
      <c r="I52" s="21">
        <v>19.530000000027901</v>
      </c>
    </row>
    <row r="53" spans="4:9">
      <c r="D53" s="15" t="s">
        <v>50</v>
      </c>
      <c r="E53" s="21">
        <v>1.9846839745068701</v>
      </c>
      <c r="F53" s="15">
        <f>Tabelle1!E52-Hoja1!E53</f>
        <v>-1.8441164745068701</v>
      </c>
      <c r="G53" s="15">
        <f t="shared" si="0"/>
        <v>1.8441164745068701</v>
      </c>
      <c r="I53" s="21">
        <v>1.8499999999767101</v>
      </c>
    </row>
    <row r="54" spans="4:9">
      <c r="D54" s="15" t="s">
        <v>51</v>
      </c>
      <c r="E54" s="21">
        <v>0</v>
      </c>
      <c r="F54" s="15">
        <f>Tabelle1!E53-Hoja1!E54</f>
        <v>0.14902496000000001</v>
      </c>
      <c r="G54" s="15">
        <f t="shared" si="0"/>
        <v>0.14902496000000001</v>
      </c>
      <c r="I54" s="21">
        <v>0</v>
      </c>
    </row>
    <row r="55" spans="4:9">
      <c r="D55" s="15" t="s">
        <v>52</v>
      </c>
      <c r="E55" s="21">
        <v>0</v>
      </c>
      <c r="F55" s="15">
        <f>Tabelle1!E54-Hoja1!E55</f>
        <v>0.14902496000000001</v>
      </c>
      <c r="G55" s="15">
        <f t="shared" si="0"/>
        <v>0.14902496000000001</v>
      </c>
      <c r="I55" s="21">
        <v>0</v>
      </c>
    </row>
    <row r="56" spans="4:9">
      <c r="D56" s="15" t="s">
        <v>53</v>
      </c>
      <c r="E56" s="21">
        <v>0</v>
      </c>
      <c r="F56" s="15">
        <f>Tabelle1!E55-Hoja1!E56</f>
        <v>7.803707E-2</v>
      </c>
      <c r="G56" s="15">
        <f t="shared" si="0"/>
        <v>7.803707E-2</v>
      </c>
      <c r="I56" s="21">
        <v>0</v>
      </c>
    </row>
    <row r="57" spans="4:9">
      <c r="D57" s="15" t="s">
        <v>54</v>
      </c>
      <c r="E57" s="21">
        <v>0</v>
      </c>
      <c r="F57" s="15">
        <f>Tabelle1!E56-Hoja1!E57</f>
        <v>7.803707E-2</v>
      </c>
      <c r="G57" s="15">
        <f t="shared" si="0"/>
        <v>7.803707E-2</v>
      </c>
      <c r="I57" s="21">
        <v>0</v>
      </c>
    </row>
    <row r="58" spans="4:9">
      <c r="D58" s="15" t="s">
        <v>55</v>
      </c>
      <c r="E58" s="21">
        <v>0</v>
      </c>
      <c r="F58" s="15">
        <f>Tabelle1!E57-Hoja1!E58</f>
        <v>7.803707E-2</v>
      </c>
      <c r="G58" s="15">
        <f t="shared" si="0"/>
        <v>7.803707E-2</v>
      </c>
      <c r="I58" s="21">
        <v>0</v>
      </c>
    </row>
    <row r="59" spans="4:9">
      <c r="D59" s="15" t="s">
        <v>56</v>
      </c>
      <c r="E59" s="21">
        <v>0</v>
      </c>
      <c r="F59" s="15">
        <f>Tabelle1!E58-Hoja1!E59</f>
        <v>7.803707E-2</v>
      </c>
      <c r="G59" s="15">
        <f t="shared" si="0"/>
        <v>7.803707E-2</v>
      </c>
      <c r="I59" s="21">
        <v>0</v>
      </c>
    </row>
    <row r="60" spans="4:9">
      <c r="D60" s="15" t="s">
        <v>57</v>
      </c>
      <c r="E60" s="21">
        <v>0</v>
      </c>
      <c r="F60" s="15">
        <f>Tabelle1!E59-Hoja1!E60</f>
        <v>7.803707E-2</v>
      </c>
      <c r="G60" s="15">
        <f t="shared" si="0"/>
        <v>7.803707E-2</v>
      </c>
      <c r="I60" s="21">
        <v>0</v>
      </c>
    </row>
    <row r="61" spans="4:9">
      <c r="D61" s="15" t="s">
        <v>58</v>
      </c>
      <c r="E61" s="21">
        <v>0</v>
      </c>
      <c r="F61" s="15">
        <f>Tabelle1!E60-Hoja1!E61</f>
        <v>7.803707E-2</v>
      </c>
      <c r="G61" s="15">
        <f t="shared" si="0"/>
        <v>7.803707E-2</v>
      </c>
      <c r="I61" s="21">
        <v>0</v>
      </c>
    </row>
    <row r="62" spans="4:9">
      <c r="D62" s="15" t="s">
        <v>59</v>
      </c>
      <c r="E62" s="21">
        <v>0</v>
      </c>
      <c r="F62" s="15">
        <f>Tabelle1!E61-Hoja1!E62</f>
        <v>7.803707E-2</v>
      </c>
      <c r="G62" s="15">
        <f t="shared" si="0"/>
        <v>7.803707E-2</v>
      </c>
      <c r="I62" s="21">
        <v>0</v>
      </c>
    </row>
    <row r="63" spans="4:9">
      <c r="D63" s="15" t="s">
        <v>60</v>
      </c>
      <c r="E63" s="21">
        <v>0</v>
      </c>
      <c r="F63" s="15">
        <f>Tabelle1!E62-Hoja1!E63</f>
        <v>7.803707E-2</v>
      </c>
      <c r="G63" s="15">
        <f t="shared" si="0"/>
        <v>7.803707E-2</v>
      </c>
      <c r="I63" s="21">
        <v>0</v>
      </c>
    </row>
    <row r="64" spans="4:9">
      <c r="D64" s="15" t="s">
        <v>61</v>
      </c>
      <c r="E64" s="21">
        <v>0</v>
      </c>
      <c r="F64" s="15">
        <f>Tabelle1!E63-Hoja1!E64</f>
        <v>7.803707E-2</v>
      </c>
      <c r="G64" s="15">
        <f t="shared" si="0"/>
        <v>7.803707E-2</v>
      </c>
      <c r="I64" s="21">
        <v>0.23000000003958099</v>
      </c>
    </row>
    <row r="65" spans="4:9">
      <c r="D65" s="15" t="s">
        <v>62</v>
      </c>
      <c r="E65" s="21">
        <v>7.8078788111788597</v>
      </c>
      <c r="F65" s="15">
        <f>Tabelle1!E64-Hoja1!E65</f>
        <v>-7.6404173111788598</v>
      </c>
      <c r="G65" s="15">
        <f t="shared" si="0"/>
        <v>7.6404173111788598</v>
      </c>
      <c r="I65" s="21">
        <v>7.2899999999790399</v>
      </c>
    </row>
    <row r="66" spans="4:9">
      <c r="D66" s="15" t="s">
        <v>63</v>
      </c>
      <c r="E66" s="21">
        <v>36.878477776713197</v>
      </c>
      <c r="F66" s="15">
        <f>Tabelle1!E65-Hoja1!E66</f>
        <v>-37.236934076713197</v>
      </c>
      <c r="G66" s="15">
        <f t="shared" si="0"/>
        <v>37.236934076713197</v>
      </c>
      <c r="I66" s="21">
        <v>37.489999999990602</v>
      </c>
    </row>
    <row r="67" spans="4:9">
      <c r="D67" s="15" t="s">
        <v>64</v>
      </c>
      <c r="E67" s="21">
        <v>77.893262323009594</v>
      </c>
      <c r="F67" s="15">
        <f>Tabelle1!E66-Hoja1!E67</f>
        <v>-78.649111093009594</v>
      </c>
      <c r="G67" s="15">
        <f t="shared" si="0"/>
        <v>78.649111093009594</v>
      </c>
      <c r="I67" s="21">
        <v>80.059999999997601</v>
      </c>
    </row>
    <row r="68" spans="4:9">
      <c r="D68" s="15" t="s">
        <v>65</v>
      </c>
      <c r="E68" s="21">
        <v>107.233158457378</v>
      </c>
      <c r="F68" s="15">
        <f>Tabelle1!E67-Hoja1!E68</f>
        <v>-107.989007227378</v>
      </c>
      <c r="G68" s="15">
        <f t="shared" si="0"/>
        <v>107.989007227378</v>
      </c>
      <c r="I68" s="21">
        <v>113.190000000002</v>
      </c>
    </row>
    <row r="69" spans="4:9">
      <c r="D69" s="15" t="s">
        <v>66</v>
      </c>
      <c r="E69" s="21">
        <v>122.542983531058</v>
      </c>
      <c r="F69" s="15">
        <f>Tabelle1!E68-Hoja1!E69</f>
        <v>-123.298832301058</v>
      </c>
      <c r="G69" s="15">
        <f t="shared" si="0"/>
        <v>123.298832301058</v>
      </c>
      <c r="I69" s="21">
        <v>124.929999999993</v>
      </c>
    </row>
    <row r="70" spans="4:9">
      <c r="D70" s="15" t="s">
        <v>67</v>
      </c>
      <c r="E70" s="21">
        <v>124.447748399966</v>
      </c>
      <c r="F70" s="15">
        <f>Tabelle1!E69-Hoja1!E70</f>
        <v>-125.203597169966</v>
      </c>
      <c r="G70" s="15">
        <f t="shared" si="0"/>
        <v>125.203597169966</v>
      </c>
      <c r="I70" s="21">
        <v>128.60000000003399</v>
      </c>
    </row>
    <row r="71" spans="4:9">
      <c r="D71" s="15" t="s">
        <v>68</v>
      </c>
      <c r="E71" s="21">
        <v>123.076016254856</v>
      </c>
      <c r="F71" s="15">
        <f>Tabelle1!E70-Hoja1!E71</f>
        <v>-123.831865024856</v>
      </c>
      <c r="G71" s="15">
        <f t="shared" si="0"/>
        <v>123.831865024856</v>
      </c>
      <c r="I71" s="21">
        <v>122.260000000009</v>
      </c>
    </row>
    <row r="72" spans="4:9">
      <c r="D72" s="15" t="s">
        <v>69</v>
      </c>
      <c r="E72" s="21">
        <v>117.954568669517</v>
      </c>
      <c r="F72" s="15">
        <f>Tabelle1!E71-Hoja1!E72</f>
        <v>-118.710417439517</v>
      </c>
      <c r="G72" s="15">
        <f t="shared" si="0"/>
        <v>118.710417439517</v>
      </c>
      <c r="I72" s="21">
        <v>114.359999999986</v>
      </c>
    </row>
    <row r="73" spans="4:9">
      <c r="D73" s="15" t="s">
        <v>70</v>
      </c>
      <c r="E73" s="21">
        <v>104.885944587257</v>
      </c>
      <c r="F73" s="15">
        <f>Tabelle1!E72-Hoja1!E73</f>
        <v>-105.641793357257</v>
      </c>
      <c r="G73" s="15">
        <f t="shared" ref="G73:G136" si="1">ABS(F73)</f>
        <v>105.641793357257</v>
      </c>
      <c r="I73" s="21">
        <v>90.799999999988302</v>
      </c>
    </row>
    <row r="74" spans="4:9">
      <c r="D74" s="15" t="s">
        <v>71</v>
      </c>
      <c r="E74" s="21">
        <v>72.478399631597895</v>
      </c>
      <c r="F74" s="15">
        <f>Tabelle1!E73-Hoja1!E74</f>
        <v>-73.143821331597891</v>
      </c>
      <c r="G74" s="15">
        <f t="shared" si="1"/>
        <v>73.143821331597891</v>
      </c>
      <c r="I74" s="21">
        <v>77.229999999981302</v>
      </c>
    </row>
    <row r="75" spans="4:9">
      <c r="D75" s="15" t="s">
        <v>72</v>
      </c>
      <c r="E75" s="21">
        <v>35.529745240173703</v>
      </c>
      <c r="F75" s="15">
        <f>Tabelle1!E74-Hoja1!E75</f>
        <v>-35.792680910173701</v>
      </c>
      <c r="G75" s="15">
        <f t="shared" si="1"/>
        <v>35.792680910173701</v>
      </c>
      <c r="I75" s="21">
        <v>38.0700000000069</v>
      </c>
    </row>
    <row r="76" spans="4:9">
      <c r="D76" s="15" t="s">
        <v>73</v>
      </c>
      <c r="E76" s="21">
        <v>15.002798038449299</v>
      </c>
      <c r="F76" s="15">
        <f>Tabelle1!E75-Hoja1!E76</f>
        <v>-15.028567207449299</v>
      </c>
      <c r="G76" s="15">
        <f t="shared" si="1"/>
        <v>15.028567207449299</v>
      </c>
      <c r="I76" s="21">
        <v>17.4700000000302</v>
      </c>
    </row>
    <row r="77" spans="4:9">
      <c r="D77" s="15" t="s">
        <v>74</v>
      </c>
      <c r="E77" s="21">
        <v>1.9846839745068701</v>
      </c>
      <c r="F77" s="15">
        <f>Tabelle1!E76-Hoja1!E77</f>
        <v>-1.8441164745068701</v>
      </c>
      <c r="G77" s="15">
        <f t="shared" si="1"/>
        <v>1.8441164745068701</v>
      </c>
      <c r="I77" s="21">
        <v>3.0599999999976699</v>
      </c>
    </row>
    <row r="78" spans="4:9">
      <c r="D78" s="15" t="s">
        <v>75</v>
      </c>
      <c r="E78" s="21">
        <v>0</v>
      </c>
      <c r="F78" s="15">
        <f>Tabelle1!E77-Hoja1!E78</f>
        <v>0.14902496000000001</v>
      </c>
      <c r="G78" s="15">
        <f t="shared" si="1"/>
        <v>0.14902496000000001</v>
      </c>
      <c r="I78" s="21">
        <v>0</v>
      </c>
    </row>
    <row r="79" spans="4:9">
      <c r="D79" s="15" t="s">
        <v>76</v>
      </c>
      <c r="E79" s="21">
        <v>0</v>
      </c>
      <c r="F79" s="15">
        <f>Tabelle1!E78-Hoja1!E79</f>
        <v>0.14902496000000001</v>
      </c>
      <c r="G79" s="15">
        <f t="shared" si="1"/>
        <v>0.14902496000000001</v>
      </c>
      <c r="I79" s="21">
        <v>0</v>
      </c>
    </row>
    <row r="80" spans="4:9">
      <c r="D80" s="15" t="s">
        <v>77</v>
      </c>
      <c r="E80" s="21">
        <v>0</v>
      </c>
      <c r="F80" s="15">
        <f>Tabelle1!E79-Hoja1!E80</f>
        <v>7.803707E-2</v>
      </c>
      <c r="G80" s="15">
        <f t="shared" si="1"/>
        <v>7.803707E-2</v>
      </c>
      <c r="I80" s="21">
        <v>0</v>
      </c>
    </row>
    <row r="81" spans="4:9">
      <c r="D81" s="15" t="s">
        <v>78</v>
      </c>
      <c r="E81" s="21">
        <v>0</v>
      </c>
      <c r="F81" s="15">
        <f>Tabelle1!E80-Hoja1!E81</f>
        <v>7.803707E-2</v>
      </c>
      <c r="G81" s="15">
        <f t="shared" si="1"/>
        <v>7.803707E-2</v>
      </c>
      <c r="I81" s="21">
        <v>0</v>
      </c>
    </row>
    <row r="82" spans="4:9">
      <c r="D82" s="15" t="s">
        <v>79</v>
      </c>
      <c r="E82" s="21">
        <v>0</v>
      </c>
      <c r="F82" s="15">
        <f>Tabelle1!E81-Hoja1!E82</f>
        <v>7.803707E-2</v>
      </c>
      <c r="G82" s="15">
        <f t="shared" si="1"/>
        <v>7.803707E-2</v>
      </c>
      <c r="I82" s="21">
        <v>0</v>
      </c>
    </row>
    <row r="83" spans="4:9">
      <c r="D83" s="15" t="s">
        <v>80</v>
      </c>
      <c r="E83" s="21">
        <v>0</v>
      </c>
      <c r="F83" s="15">
        <f>Tabelle1!E82-Hoja1!E83</f>
        <v>7.803707E-2</v>
      </c>
      <c r="G83" s="15">
        <f t="shared" si="1"/>
        <v>7.803707E-2</v>
      </c>
      <c r="I83" s="21">
        <v>0</v>
      </c>
    </row>
    <row r="84" spans="4:9">
      <c r="D84" s="15" t="s">
        <v>81</v>
      </c>
      <c r="E84" s="21">
        <v>0</v>
      </c>
      <c r="F84" s="15">
        <f>Tabelle1!E83-Hoja1!E84</f>
        <v>7.803707E-2</v>
      </c>
      <c r="G84" s="15">
        <f t="shared" si="1"/>
        <v>7.803707E-2</v>
      </c>
      <c r="I84" s="21">
        <v>0</v>
      </c>
    </row>
    <row r="85" spans="4:9">
      <c r="D85" s="15" t="s">
        <v>82</v>
      </c>
      <c r="E85" s="21">
        <v>0</v>
      </c>
      <c r="F85" s="15">
        <f>Tabelle1!E84-Hoja1!E85</f>
        <v>7.803707E-2</v>
      </c>
      <c r="G85" s="15">
        <f t="shared" si="1"/>
        <v>7.803707E-2</v>
      </c>
      <c r="I85" s="21">
        <v>0</v>
      </c>
    </row>
    <row r="86" spans="4:9">
      <c r="D86" s="15" t="s">
        <v>83</v>
      </c>
      <c r="E86" s="21">
        <v>0</v>
      </c>
      <c r="F86" s="15">
        <f>Tabelle1!E85-Hoja1!E86</f>
        <v>7.803707E-2</v>
      </c>
      <c r="G86" s="15">
        <f t="shared" si="1"/>
        <v>7.803707E-2</v>
      </c>
      <c r="I86" s="21">
        <v>0</v>
      </c>
    </row>
    <row r="87" spans="4:9">
      <c r="D87" s="15" t="s">
        <v>84</v>
      </c>
      <c r="E87" s="21">
        <v>0</v>
      </c>
      <c r="F87" s="15">
        <f>Tabelle1!E86-Hoja1!E87</f>
        <v>7.803707E-2</v>
      </c>
      <c r="G87" s="15">
        <f t="shared" si="1"/>
        <v>7.803707E-2</v>
      </c>
      <c r="I87" s="21">
        <v>0</v>
      </c>
    </row>
    <row r="88" spans="4:9">
      <c r="D88" s="15" t="s">
        <v>85</v>
      </c>
      <c r="E88" s="21">
        <v>0</v>
      </c>
      <c r="F88" s="15">
        <f>Tabelle1!E87-Hoja1!E88</f>
        <v>7.803707E-2</v>
      </c>
      <c r="G88" s="15">
        <f t="shared" si="1"/>
        <v>7.803707E-2</v>
      </c>
      <c r="I88" s="21">
        <v>0.14000000001396901</v>
      </c>
    </row>
    <row r="89" spans="4:9">
      <c r="D89" s="15" t="s">
        <v>86</v>
      </c>
      <c r="E89" s="21">
        <v>7.8078788111788597</v>
      </c>
      <c r="F89" s="15">
        <f>Tabelle1!E88-Hoja1!E89</f>
        <v>-7.6404173111788598</v>
      </c>
      <c r="G89" s="15">
        <f t="shared" si="1"/>
        <v>7.6404173111788598</v>
      </c>
      <c r="I89" s="21">
        <v>4.6099999999860302</v>
      </c>
    </row>
    <row r="90" spans="4:9">
      <c r="D90" s="15" t="s">
        <v>87</v>
      </c>
      <c r="E90" s="21">
        <v>37.6477844480996</v>
      </c>
      <c r="F90" s="15">
        <f>Tabelle1!E89-Hoja1!E90</f>
        <v>-38.0062407480996</v>
      </c>
      <c r="G90" s="15">
        <f t="shared" si="1"/>
        <v>38.0062407480996</v>
      </c>
      <c r="I90" s="21">
        <v>26.050000000046499</v>
      </c>
    </row>
    <row r="91" spans="4:9">
      <c r="D91" s="15" t="s">
        <v>88</v>
      </c>
      <c r="E91" s="21">
        <v>74.658035692685203</v>
      </c>
      <c r="F91" s="15">
        <f>Tabelle1!E90-Hoja1!E91</f>
        <v>-75.413884462685203</v>
      </c>
      <c r="G91" s="15">
        <f t="shared" si="1"/>
        <v>75.413884462685203</v>
      </c>
      <c r="I91" s="21">
        <v>84.079999999958005</v>
      </c>
    </row>
    <row r="92" spans="4:9">
      <c r="D92" s="15" t="s">
        <v>89</v>
      </c>
      <c r="E92" s="21">
        <v>105.294979110795</v>
      </c>
      <c r="F92" s="15">
        <f>Tabelle1!E91-Hoja1!E92</f>
        <v>-106.050827880795</v>
      </c>
      <c r="G92" s="15">
        <f t="shared" si="1"/>
        <v>106.050827880795</v>
      </c>
      <c r="I92" s="21">
        <v>120.270000000018</v>
      </c>
    </row>
    <row r="93" spans="4:9">
      <c r="D93" s="15" t="s">
        <v>90</v>
      </c>
      <c r="E93" s="21">
        <v>123.852446544674</v>
      </c>
      <c r="F93" s="15">
        <f>Tabelle1!E92-Hoja1!E93</f>
        <v>-124.608295314674</v>
      </c>
      <c r="G93" s="15">
        <f t="shared" si="1"/>
        <v>124.608295314674</v>
      </c>
      <c r="I93" s="21">
        <v>132.90999999997399</v>
      </c>
    </row>
    <row r="94" spans="4:9">
      <c r="D94" s="15" t="s">
        <v>91</v>
      </c>
      <c r="E94" s="21">
        <v>123.88622837816899</v>
      </c>
      <c r="F94" s="15">
        <f>Tabelle1!E93-Hoja1!E94</f>
        <v>-124.64207714816899</v>
      </c>
      <c r="G94" s="15">
        <f t="shared" si="1"/>
        <v>124.64207714816899</v>
      </c>
      <c r="I94" s="21">
        <v>122.550000000046</v>
      </c>
    </row>
    <row r="95" spans="4:9">
      <c r="D95" s="15" t="s">
        <v>92</v>
      </c>
      <c r="E95" s="21">
        <v>119.794606388291</v>
      </c>
      <c r="F95" s="15">
        <f>Tabelle1!E94-Hoja1!E95</f>
        <v>-120.550455158291</v>
      </c>
      <c r="G95" s="15">
        <f t="shared" si="1"/>
        <v>120.550455158291</v>
      </c>
      <c r="I95" s="21">
        <v>85.099999999976703</v>
      </c>
    </row>
    <row r="96" spans="4:9">
      <c r="D96" s="15" t="s">
        <v>93</v>
      </c>
      <c r="E96" s="21">
        <v>79.452020340303605</v>
      </c>
      <c r="F96" s="15">
        <f>Tabelle1!E95-Hoja1!E96</f>
        <v>-80.207869110303605</v>
      </c>
      <c r="G96" s="15">
        <f t="shared" si="1"/>
        <v>80.207869110303605</v>
      </c>
      <c r="I96" s="21">
        <v>22.489999999990602</v>
      </c>
    </row>
    <row r="97" spans="4:9">
      <c r="D97" s="15" t="s">
        <v>94</v>
      </c>
      <c r="E97" s="21">
        <v>68.224626191709703</v>
      </c>
      <c r="F97" s="15">
        <f>Tabelle1!E96-Hoja1!E97</f>
        <v>-68.980474961709703</v>
      </c>
      <c r="G97" s="15">
        <f t="shared" si="1"/>
        <v>68.980474961709703</v>
      </c>
      <c r="I97" s="21">
        <v>17.830000000016199</v>
      </c>
    </row>
    <row r="98" spans="4:9">
      <c r="D98" s="15" t="s">
        <v>95</v>
      </c>
      <c r="E98" s="21">
        <v>78.833318753454904</v>
      </c>
      <c r="F98" s="15">
        <f>Tabelle1!E97-Hoja1!E98</f>
        <v>-79.4987404534549</v>
      </c>
      <c r="G98" s="15">
        <f t="shared" si="1"/>
        <v>79.4987404534549</v>
      </c>
      <c r="I98" s="21">
        <v>90.719999999972003</v>
      </c>
    </row>
    <row r="99" spans="4:9">
      <c r="D99" s="15" t="s">
        <v>96</v>
      </c>
      <c r="E99" s="21">
        <v>49.5551006069553</v>
      </c>
      <c r="F99" s="15">
        <f>Tabelle1!E98-Hoja1!E99</f>
        <v>-49.818036276955297</v>
      </c>
      <c r="G99" s="15">
        <f t="shared" si="1"/>
        <v>49.818036276955297</v>
      </c>
      <c r="I99" s="21">
        <v>60.480000000039503</v>
      </c>
    </row>
    <row r="100" spans="4:9">
      <c r="D100" s="15" t="s">
        <v>97</v>
      </c>
      <c r="E100" s="21">
        <v>20.495095940521299</v>
      </c>
      <c r="F100" s="15">
        <f>Tabelle1!E99-Hoja1!E100</f>
        <v>-20.520865109521299</v>
      </c>
      <c r="G100" s="15">
        <f t="shared" si="1"/>
        <v>20.520865109521299</v>
      </c>
      <c r="I100" s="21">
        <v>16.5</v>
      </c>
    </row>
    <row r="101" spans="4:9">
      <c r="D101" s="15" t="s">
        <v>98</v>
      </c>
      <c r="E101" s="21">
        <v>1.9846839745068701</v>
      </c>
      <c r="F101" s="15">
        <f>Tabelle1!E100-Hoja1!E101</f>
        <v>-1.8441164745068701</v>
      </c>
      <c r="G101" s="15">
        <f t="shared" si="1"/>
        <v>1.8441164745068701</v>
      </c>
      <c r="I101" s="21">
        <v>2.1699999999837001</v>
      </c>
    </row>
    <row r="102" spans="4:9">
      <c r="D102" s="15" t="s">
        <v>99</v>
      </c>
      <c r="E102" s="21">
        <v>0</v>
      </c>
      <c r="F102" s="15">
        <f>Tabelle1!E101-Hoja1!E102</f>
        <v>0.14902496000000001</v>
      </c>
      <c r="G102" s="15">
        <f t="shared" si="1"/>
        <v>0.14902496000000001</v>
      </c>
      <c r="I102" s="21">
        <v>0</v>
      </c>
    </row>
    <row r="103" spans="4:9">
      <c r="D103" s="15" t="s">
        <v>100</v>
      </c>
      <c r="E103" s="21">
        <v>0</v>
      </c>
      <c r="F103" s="15">
        <f>Tabelle1!E102-Hoja1!E103</f>
        <v>0.14902496000000001</v>
      </c>
      <c r="G103" s="15">
        <f t="shared" si="1"/>
        <v>0.14902496000000001</v>
      </c>
      <c r="I103" s="21">
        <v>0</v>
      </c>
    </row>
    <row r="104" spans="4:9">
      <c r="D104" s="15" t="s">
        <v>101</v>
      </c>
      <c r="E104" s="21">
        <v>0</v>
      </c>
      <c r="F104" s="15">
        <f>Tabelle1!E103-Hoja1!E104</f>
        <v>7.803707E-2</v>
      </c>
      <c r="G104" s="15">
        <f t="shared" si="1"/>
        <v>7.803707E-2</v>
      </c>
      <c r="I104" s="21">
        <v>0</v>
      </c>
    </row>
    <row r="105" spans="4:9">
      <c r="D105" s="15" t="s">
        <v>102</v>
      </c>
      <c r="E105" s="21">
        <v>0</v>
      </c>
      <c r="F105" s="15">
        <f>Tabelle1!E104-Hoja1!E105</f>
        <v>7.803707E-2</v>
      </c>
      <c r="G105" s="15">
        <f t="shared" si="1"/>
        <v>7.803707E-2</v>
      </c>
      <c r="I105" s="21">
        <v>0</v>
      </c>
    </row>
    <row r="106" spans="4:9">
      <c r="D106" s="15" t="s">
        <v>103</v>
      </c>
      <c r="E106" s="21">
        <v>0</v>
      </c>
      <c r="F106" s="15">
        <f>Tabelle1!E105-Hoja1!E106</f>
        <v>7.803707E-2</v>
      </c>
      <c r="G106" s="15">
        <f t="shared" si="1"/>
        <v>7.803707E-2</v>
      </c>
      <c r="I106" s="21">
        <v>0</v>
      </c>
    </row>
    <row r="107" spans="4:9">
      <c r="D107" s="15" t="s">
        <v>104</v>
      </c>
      <c r="E107" s="21">
        <v>0</v>
      </c>
      <c r="F107" s="15">
        <f>Tabelle1!E106-Hoja1!E107</f>
        <v>7.803707E-2</v>
      </c>
      <c r="G107" s="15">
        <f t="shared" si="1"/>
        <v>7.803707E-2</v>
      </c>
      <c r="I107" s="21">
        <v>0</v>
      </c>
    </row>
    <row r="108" spans="4:9">
      <c r="D108" s="15" t="s">
        <v>105</v>
      </c>
      <c r="E108" s="21">
        <v>0</v>
      </c>
      <c r="F108" s="15">
        <f>Tabelle1!E107-Hoja1!E108</f>
        <v>7.803707E-2</v>
      </c>
      <c r="G108" s="15">
        <f t="shared" si="1"/>
        <v>7.803707E-2</v>
      </c>
      <c r="I108" s="21">
        <v>0</v>
      </c>
    </row>
    <row r="109" spans="4:9">
      <c r="D109" s="15" t="s">
        <v>106</v>
      </c>
      <c r="E109" s="21">
        <v>0</v>
      </c>
      <c r="F109" s="15">
        <f>Tabelle1!E108-Hoja1!E109</f>
        <v>7.803707E-2</v>
      </c>
      <c r="G109" s="15">
        <f t="shared" si="1"/>
        <v>7.803707E-2</v>
      </c>
      <c r="I109" s="21">
        <v>0</v>
      </c>
    </row>
    <row r="110" spans="4:9">
      <c r="D110" s="15" t="s">
        <v>107</v>
      </c>
      <c r="E110" s="21">
        <v>0</v>
      </c>
      <c r="F110" s="15">
        <f>Tabelle1!E109-Hoja1!E110</f>
        <v>7.803707E-2</v>
      </c>
      <c r="G110" s="15">
        <f t="shared" si="1"/>
        <v>7.803707E-2</v>
      </c>
      <c r="I110" s="21">
        <v>0</v>
      </c>
    </row>
    <row r="111" spans="4:9">
      <c r="D111" s="15" t="s">
        <v>108</v>
      </c>
      <c r="E111" s="21">
        <v>0</v>
      </c>
      <c r="F111" s="15">
        <f>Tabelle1!E110-Hoja1!E111</f>
        <v>7.803707E-2</v>
      </c>
      <c r="G111" s="15">
        <f t="shared" si="1"/>
        <v>7.803707E-2</v>
      </c>
      <c r="I111" s="21">
        <v>0</v>
      </c>
    </row>
    <row r="112" spans="4:9">
      <c r="D112" s="15" t="s">
        <v>109</v>
      </c>
      <c r="E112" s="21">
        <v>0</v>
      </c>
      <c r="F112" s="15">
        <f>Tabelle1!E111-Hoja1!E112</f>
        <v>7.803707E-2</v>
      </c>
      <c r="G112" s="15">
        <f t="shared" si="1"/>
        <v>7.803707E-2</v>
      </c>
      <c r="I112" s="21">
        <v>0.46999999997205999</v>
      </c>
    </row>
    <row r="113" spans="4:9">
      <c r="D113" s="15" t="s">
        <v>110</v>
      </c>
      <c r="E113" s="21">
        <v>6.5094172774225099</v>
      </c>
      <c r="F113" s="15">
        <f>Tabelle1!E112-Hoja1!E113</f>
        <v>-6.3419557774225099</v>
      </c>
      <c r="G113" s="15">
        <f t="shared" si="1"/>
        <v>6.3419557774225099</v>
      </c>
      <c r="I113" s="21">
        <v>8.2900000000372494</v>
      </c>
    </row>
    <row r="114" spans="4:9">
      <c r="D114" s="15" t="s">
        <v>111</v>
      </c>
      <c r="E114" s="21">
        <v>30.7683758982866</v>
      </c>
      <c r="F114" s="15">
        <f>Tabelle1!E113-Hoja1!E114</f>
        <v>-31.1268321982866</v>
      </c>
      <c r="G114" s="15">
        <f t="shared" si="1"/>
        <v>31.1268321982866</v>
      </c>
      <c r="I114" s="21">
        <v>34.619999999995301</v>
      </c>
    </row>
    <row r="115" spans="4:9">
      <c r="D115" s="15" t="s">
        <v>112</v>
      </c>
      <c r="E115" s="21">
        <v>74.246693970427899</v>
      </c>
      <c r="F115" s="15">
        <f>Tabelle1!E114-Hoja1!E115</f>
        <v>-75.002542740427899</v>
      </c>
      <c r="G115" s="15">
        <f t="shared" si="1"/>
        <v>75.002542740427899</v>
      </c>
      <c r="I115" s="21">
        <v>70.739999999990602</v>
      </c>
    </row>
    <row r="116" spans="4:9">
      <c r="D116" s="15" t="s">
        <v>113</v>
      </c>
      <c r="E116" s="21">
        <v>104.07218142257</v>
      </c>
      <c r="F116" s="15">
        <f>Tabelle1!E115-Hoja1!E116</f>
        <v>-104.82803019257</v>
      </c>
      <c r="G116" s="15">
        <f t="shared" si="1"/>
        <v>104.82803019257</v>
      </c>
      <c r="I116" s="21">
        <v>114.580000000016</v>
      </c>
    </row>
    <row r="117" spans="4:9">
      <c r="D117" s="15" t="s">
        <v>114</v>
      </c>
      <c r="E117" s="21">
        <v>122.471503478325</v>
      </c>
      <c r="F117" s="15">
        <f>Tabelle1!E116-Hoja1!E117</f>
        <v>-123.227352248325</v>
      </c>
      <c r="G117" s="15">
        <f t="shared" si="1"/>
        <v>123.227352248325</v>
      </c>
      <c r="I117" s="21">
        <v>125.44999999995299</v>
      </c>
    </row>
    <row r="118" spans="4:9">
      <c r="D118" s="15" t="s">
        <v>115</v>
      </c>
      <c r="E118" s="21">
        <v>123.920650815871</v>
      </c>
      <c r="F118" s="15">
        <f>Tabelle1!E117-Hoja1!E118</f>
        <v>-124.676499585871</v>
      </c>
      <c r="G118" s="15">
        <f t="shared" si="1"/>
        <v>124.676499585871</v>
      </c>
      <c r="I118" s="21">
        <v>111.780000000027</v>
      </c>
    </row>
    <row r="119" spans="4:9">
      <c r="D119" s="15" t="s">
        <v>116</v>
      </c>
      <c r="E119" s="21">
        <v>121.98375392039</v>
      </c>
      <c r="F119" s="15">
        <f>Tabelle1!E118-Hoja1!E119</f>
        <v>-122.73960269039</v>
      </c>
      <c r="G119" s="15">
        <f t="shared" si="1"/>
        <v>122.73960269039</v>
      </c>
      <c r="I119" s="21">
        <v>75.049999999988302</v>
      </c>
    </row>
    <row r="120" spans="4:9">
      <c r="D120" s="15" t="s">
        <v>117</v>
      </c>
      <c r="E120" s="21">
        <v>116.52165770544001</v>
      </c>
      <c r="F120" s="15">
        <f>Tabelle1!E119-Hoja1!E120</f>
        <v>-117.27750647544001</v>
      </c>
      <c r="G120" s="15">
        <f t="shared" si="1"/>
        <v>117.27750647544001</v>
      </c>
      <c r="I120" s="21">
        <v>109.510000000009</v>
      </c>
    </row>
    <row r="121" spans="4:9">
      <c r="D121" s="15" t="s">
        <v>118</v>
      </c>
      <c r="E121" s="21">
        <v>79.403436453714605</v>
      </c>
      <c r="F121" s="15">
        <f>Tabelle1!E120-Hoja1!E121</f>
        <v>-80.159285223714605</v>
      </c>
      <c r="G121" s="15">
        <f t="shared" si="1"/>
        <v>80.159285223714605</v>
      </c>
      <c r="I121" s="21">
        <v>92.260000000009299</v>
      </c>
    </row>
    <row r="122" spans="4:9">
      <c r="D122" s="15" t="s">
        <v>119</v>
      </c>
      <c r="E122" s="21">
        <v>64.044178324713997</v>
      </c>
      <c r="F122" s="15">
        <f>Tabelle1!E121-Hoja1!E122</f>
        <v>-64.709600024713993</v>
      </c>
      <c r="G122" s="15">
        <f t="shared" si="1"/>
        <v>64.709600024713993</v>
      </c>
      <c r="I122" s="21">
        <v>74.539999999979003</v>
      </c>
    </row>
    <row r="123" spans="4:9">
      <c r="D123" s="15" t="s">
        <v>120</v>
      </c>
      <c r="E123" s="21">
        <v>19.991686827710801</v>
      </c>
      <c r="F123" s="15">
        <f>Tabelle1!E122-Hoja1!E123</f>
        <v>-20.254622497710802</v>
      </c>
      <c r="G123" s="15">
        <f t="shared" si="1"/>
        <v>20.254622497710802</v>
      </c>
      <c r="I123" s="21">
        <v>35.239999999990602</v>
      </c>
    </row>
    <row r="124" spans="4:9">
      <c r="D124" s="15" t="s">
        <v>121</v>
      </c>
      <c r="E124" s="21">
        <v>7.8970680743600603</v>
      </c>
      <c r="F124" s="15">
        <f>Tabelle1!E123-Hoja1!E124</f>
        <v>-7.9228372433600605</v>
      </c>
      <c r="G124" s="15">
        <f t="shared" si="1"/>
        <v>7.9228372433600605</v>
      </c>
      <c r="I124" s="21">
        <v>15.3800000000046</v>
      </c>
    </row>
    <row r="125" spans="4:9">
      <c r="D125" s="15" t="s">
        <v>122</v>
      </c>
      <c r="E125" s="21">
        <v>1.23695410268465</v>
      </c>
      <c r="F125" s="15">
        <f>Tabelle1!E124-Hoja1!E125</f>
        <v>-1.09638660268465</v>
      </c>
      <c r="G125" s="15">
        <f t="shared" si="1"/>
        <v>1.09638660268465</v>
      </c>
      <c r="I125" s="21">
        <v>1.6400000000139601</v>
      </c>
    </row>
    <row r="126" spans="4:9">
      <c r="D126" s="15" t="s">
        <v>123</v>
      </c>
      <c r="E126" s="21">
        <v>0</v>
      </c>
      <c r="F126" s="15">
        <f>Tabelle1!E125-Hoja1!E126</f>
        <v>0.14902496000000001</v>
      </c>
      <c r="G126" s="15">
        <f t="shared" si="1"/>
        <v>0.14902496000000001</v>
      </c>
      <c r="I126" s="21">
        <v>0</v>
      </c>
    </row>
    <row r="127" spans="4:9">
      <c r="D127" s="15" t="s">
        <v>124</v>
      </c>
      <c r="E127" s="21">
        <v>0</v>
      </c>
      <c r="F127" s="15">
        <f>Tabelle1!E126-Hoja1!E127</f>
        <v>0.14902496000000001</v>
      </c>
      <c r="G127" s="15">
        <f t="shared" si="1"/>
        <v>0.14902496000000001</v>
      </c>
      <c r="I127" s="21">
        <v>0</v>
      </c>
    </row>
    <row r="128" spans="4:9">
      <c r="D128" s="15" t="s">
        <v>125</v>
      </c>
      <c r="E128" s="21">
        <v>0</v>
      </c>
      <c r="F128" s="15">
        <f>Tabelle1!E127-Hoja1!E128</f>
        <v>8.427962E-2</v>
      </c>
      <c r="G128" s="15">
        <f t="shared" si="1"/>
        <v>8.427962E-2</v>
      </c>
      <c r="I128" s="21">
        <v>0</v>
      </c>
    </row>
    <row r="129" spans="4:9">
      <c r="D129" s="15" t="s">
        <v>126</v>
      </c>
      <c r="E129" s="21">
        <v>0</v>
      </c>
      <c r="F129" s="15">
        <f>Tabelle1!E128-Hoja1!E129</f>
        <v>8.427962E-2</v>
      </c>
      <c r="G129" s="15">
        <f t="shared" si="1"/>
        <v>8.427962E-2</v>
      </c>
      <c r="I129" s="21">
        <v>0</v>
      </c>
    </row>
    <row r="130" spans="4:9">
      <c r="D130" s="15" t="s">
        <v>127</v>
      </c>
      <c r="E130" s="21">
        <v>0</v>
      </c>
      <c r="F130" s="15">
        <f>Tabelle1!E129-Hoja1!E130</f>
        <v>8.427962E-2</v>
      </c>
      <c r="G130" s="15">
        <f t="shared" si="1"/>
        <v>8.427962E-2</v>
      </c>
      <c r="I130" s="21">
        <v>0</v>
      </c>
    </row>
    <row r="131" spans="4:9">
      <c r="D131" s="15" t="s">
        <v>128</v>
      </c>
      <c r="E131" s="21">
        <v>0</v>
      </c>
      <c r="F131" s="15">
        <f>Tabelle1!E130-Hoja1!E131</f>
        <v>8.427962E-2</v>
      </c>
      <c r="G131" s="15">
        <f t="shared" si="1"/>
        <v>8.427962E-2</v>
      </c>
      <c r="I131" s="21">
        <v>0</v>
      </c>
    </row>
    <row r="132" spans="4:9">
      <c r="D132" s="15" t="s">
        <v>129</v>
      </c>
      <c r="E132" s="21">
        <v>0</v>
      </c>
      <c r="F132" s="15">
        <f>Tabelle1!E131-Hoja1!E132</f>
        <v>8.427962E-2</v>
      </c>
      <c r="G132" s="15">
        <f t="shared" si="1"/>
        <v>8.427962E-2</v>
      </c>
      <c r="I132" s="21">
        <v>0</v>
      </c>
    </row>
    <row r="133" spans="4:9">
      <c r="D133" s="15" t="s">
        <v>130</v>
      </c>
      <c r="E133" s="21">
        <v>0</v>
      </c>
      <c r="F133" s="15">
        <f>Tabelle1!E132-Hoja1!E133</f>
        <v>8.427962E-2</v>
      </c>
      <c r="G133" s="15">
        <f t="shared" si="1"/>
        <v>8.427962E-2</v>
      </c>
      <c r="I133" s="21">
        <v>0</v>
      </c>
    </row>
    <row r="134" spans="4:9">
      <c r="D134" s="15" t="s">
        <v>131</v>
      </c>
      <c r="E134" s="21">
        <v>0</v>
      </c>
      <c r="F134" s="15">
        <f>Tabelle1!E133-Hoja1!E134</f>
        <v>8.427962E-2</v>
      </c>
      <c r="G134" s="15">
        <f t="shared" si="1"/>
        <v>8.427962E-2</v>
      </c>
      <c r="I134" s="21">
        <v>0</v>
      </c>
    </row>
    <row r="135" spans="4:9">
      <c r="D135" s="15" t="s">
        <v>132</v>
      </c>
      <c r="E135" s="21">
        <v>0</v>
      </c>
      <c r="F135" s="15">
        <f>Tabelle1!E134-Hoja1!E135</f>
        <v>8.427962E-2</v>
      </c>
      <c r="G135" s="15">
        <f t="shared" si="1"/>
        <v>8.427962E-2</v>
      </c>
      <c r="I135" s="21">
        <v>0</v>
      </c>
    </row>
    <row r="136" spans="4:9">
      <c r="D136" s="15" t="s">
        <v>133</v>
      </c>
      <c r="E136" s="21">
        <v>0</v>
      </c>
      <c r="F136" s="15">
        <f>Tabelle1!E135-Hoja1!E136</f>
        <v>8.427962E-2</v>
      </c>
      <c r="G136" s="15">
        <f t="shared" si="1"/>
        <v>8.427962E-2</v>
      </c>
      <c r="I136" s="21">
        <v>0.200000000011641</v>
      </c>
    </row>
    <row r="137" spans="4:9">
      <c r="D137" s="15" t="s">
        <v>134</v>
      </c>
      <c r="E137" s="21">
        <v>6.9559993545154697</v>
      </c>
      <c r="F137" s="15">
        <f>Tabelle1!E136-Hoja1!E137</f>
        <v>-6.7822952945154693</v>
      </c>
      <c r="G137" s="15">
        <f t="shared" ref="G137:G200" si="2">ABS(F137)</f>
        <v>6.7822952945154693</v>
      </c>
      <c r="I137" s="21">
        <v>6.3699999999953398</v>
      </c>
    </row>
    <row r="138" spans="4:9">
      <c r="D138" s="15" t="s">
        <v>135</v>
      </c>
      <c r="E138" s="21">
        <v>29.7321132653958</v>
      </c>
      <c r="F138" s="15">
        <f>Tabelle1!E137-Hoja1!E138</f>
        <v>-30.032685605395798</v>
      </c>
      <c r="G138" s="15">
        <f t="shared" si="2"/>
        <v>30.032685605395798</v>
      </c>
      <c r="I138" s="21">
        <v>20.840000000025601</v>
      </c>
    </row>
    <row r="139" spans="4:9">
      <c r="D139" s="15" t="s">
        <v>136</v>
      </c>
      <c r="E139" s="21">
        <v>66.244989618339503</v>
      </c>
      <c r="F139" s="15">
        <f>Tabelle1!E138-Hoja1!E139</f>
        <v>-66.930164818339506</v>
      </c>
      <c r="G139" s="15">
        <f t="shared" si="2"/>
        <v>66.930164818339506</v>
      </c>
      <c r="I139" s="21">
        <v>87.669999999983702</v>
      </c>
    </row>
    <row r="140" spans="4:9">
      <c r="D140" s="15" t="s">
        <v>137</v>
      </c>
      <c r="E140" s="21">
        <v>90.128865135785304</v>
      </c>
      <c r="F140" s="15">
        <f>Tabelle1!E139-Hoja1!E140</f>
        <v>-90.814040335785307</v>
      </c>
      <c r="G140" s="15">
        <f t="shared" si="2"/>
        <v>90.814040335785307</v>
      </c>
      <c r="I140" s="21">
        <v>113.510000000009</v>
      </c>
    </row>
    <row r="141" spans="4:9">
      <c r="D141" s="15" t="s">
        <v>138</v>
      </c>
      <c r="E141" s="21">
        <v>111.86540457762599</v>
      </c>
      <c r="F141" s="15">
        <f>Tabelle1!E140-Hoja1!E141</f>
        <v>-112.550579777626</v>
      </c>
      <c r="G141" s="15">
        <f t="shared" si="2"/>
        <v>112.550579777626</v>
      </c>
      <c r="I141" s="21">
        <v>126.320000000006</v>
      </c>
    </row>
    <row r="142" spans="4:9">
      <c r="D142" s="15" t="s">
        <v>139</v>
      </c>
      <c r="E142" s="21">
        <v>119.23141142503999</v>
      </c>
      <c r="F142" s="15">
        <f>Tabelle1!E141-Hoja1!E142</f>
        <v>-119.91658662504</v>
      </c>
      <c r="G142" s="15">
        <f t="shared" si="2"/>
        <v>119.91658662504</v>
      </c>
      <c r="I142" s="21">
        <v>121.979999999981</v>
      </c>
    </row>
    <row r="143" spans="4:9">
      <c r="D143" s="15" t="s">
        <v>140</v>
      </c>
      <c r="E143" s="21">
        <v>117.99305343403501</v>
      </c>
      <c r="F143" s="15">
        <f>Tabelle1!E142-Hoja1!E143</f>
        <v>-118.67822863403501</v>
      </c>
      <c r="G143" s="15">
        <f t="shared" si="2"/>
        <v>118.67822863403501</v>
      </c>
      <c r="I143" s="21">
        <v>50.330000000016298</v>
      </c>
    </row>
    <row r="144" spans="4:9">
      <c r="D144" s="15" t="s">
        <v>141</v>
      </c>
      <c r="E144" s="21">
        <v>118.63301772726599</v>
      </c>
      <c r="F144" s="15">
        <f>Tabelle1!E143-Hoja1!E144</f>
        <v>-119.318192927266</v>
      </c>
      <c r="G144" s="15">
        <f t="shared" si="2"/>
        <v>119.318192927266</v>
      </c>
      <c r="I144" s="21">
        <v>78.049999999988302</v>
      </c>
    </row>
    <row r="145" spans="4:9">
      <c r="D145" s="15" t="s">
        <v>142</v>
      </c>
      <c r="E145" s="21">
        <v>105.66913815068401</v>
      </c>
      <c r="F145" s="15">
        <f>Tabelle1!E144-Hoja1!E145</f>
        <v>-106.35431335068401</v>
      </c>
      <c r="G145" s="15">
        <f t="shared" si="2"/>
        <v>106.35431335068401</v>
      </c>
      <c r="I145" s="21">
        <v>34.210000000020898</v>
      </c>
    </row>
    <row r="146" spans="4:9">
      <c r="D146" s="15" t="s">
        <v>143</v>
      </c>
      <c r="E146" s="21">
        <v>71.217501843517397</v>
      </c>
      <c r="F146" s="15">
        <f>Tabelle1!E145-Hoja1!E146</f>
        <v>-71.812249743517398</v>
      </c>
      <c r="G146" s="15">
        <f t="shared" si="2"/>
        <v>71.812249743517398</v>
      </c>
      <c r="I146" s="21">
        <v>99.329999999958005</v>
      </c>
    </row>
    <row r="147" spans="4:9">
      <c r="D147" s="15" t="s">
        <v>144</v>
      </c>
      <c r="E147" s="21">
        <v>37.109581338509102</v>
      </c>
      <c r="F147" s="15">
        <f>Tabelle1!E146-Hoja1!E147</f>
        <v>-37.301843378509105</v>
      </c>
      <c r="G147" s="15">
        <f t="shared" si="2"/>
        <v>37.301843378509105</v>
      </c>
      <c r="I147" s="21">
        <v>59.1300000000046</v>
      </c>
    </row>
    <row r="148" spans="4:9">
      <c r="D148" s="15" t="s">
        <v>145</v>
      </c>
      <c r="E148" s="21">
        <v>17.1083961151386</v>
      </c>
      <c r="F148" s="15">
        <f>Tabelle1!E147-Hoja1!E148</f>
        <v>-17.063491700138599</v>
      </c>
      <c r="G148" s="15">
        <f t="shared" si="2"/>
        <v>17.063491700138599</v>
      </c>
      <c r="I148" s="21">
        <v>18.520000000018602</v>
      </c>
    </row>
    <row r="149" spans="4:9">
      <c r="D149" s="15" t="s">
        <v>146</v>
      </c>
      <c r="E149" s="21">
        <v>1.9846839745068701</v>
      </c>
      <c r="F149" s="15">
        <f>Tabelle1!E148-Hoja1!E149</f>
        <v>-1.8250842345068701</v>
      </c>
      <c r="G149" s="15">
        <f t="shared" si="2"/>
        <v>1.8250842345068701</v>
      </c>
      <c r="I149" s="21">
        <v>1.52000000001862</v>
      </c>
    </row>
    <row r="150" spans="4:9">
      <c r="D150" s="15" t="s">
        <v>147</v>
      </c>
      <c r="E150" s="21">
        <v>0</v>
      </c>
      <c r="F150" s="15">
        <f>Tabelle1!E149-Hoja1!E150</f>
        <v>0.16805719999999999</v>
      </c>
      <c r="G150" s="15">
        <f t="shared" si="2"/>
        <v>0.16805719999999999</v>
      </c>
      <c r="I150" s="21">
        <v>0</v>
      </c>
    </row>
    <row r="151" spans="4:9">
      <c r="D151" s="15" t="s">
        <v>148</v>
      </c>
      <c r="E151" s="21">
        <v>0</v>
      </c>
      <c r="F151" s="15">
        <f>Tabelle1!E150-Hoja1!E151</f>
        <v>0.16805719999999999</v>
      </c>
      <c r="G151" s="15">
        <f t="shared" si="2"/>
        <v>0.16805719999999999</v>
      </c>
      <c r="I151" s="21">
        <v>0</v>
      </c>
    </row>
    <row r="152" spans="4:9">
      <c r="D152" s="15" t="s">
        <v>149</v>
      </c>
      <c r="E152" s="21">
        <v>0</v>
      </c>
      <c r="F152" s="15">
        <f>Tabelle1!E151-Hoja1!E152</f>
        <v>8.4404519999999997E-2</v>
      </c>
      <c r="G152" s="15">
        <f t="shared" si="2"/>
        <v>8.4404519999999997E-2</v>
      </c>
      <c r="I152" s="21">
        <v>3.0000000027939601E-2</v>
      </c>
    </row>
    <row r="153" spans="4:9">
      <c r="D153" s="15" t="s">
        <v>150</v>
      </c>
      <c r="E153" s="21">
        <v>0</v>
      </c>
      <c r="F153" s="15">
        <f>Tabelle1!E152-Hoja1!E153</f>
        <v>8.4404519999999997E-2</v>
      </c>
      <c r="G153" s="15">
        <f t="shared" si="2"/>
        <v>8.4404519999999997E-2</v>
      </c>
      <c r="I153" s="21">
        <v>0</v>
      </c>
    </row>
    <row r="154" spans="4:9">
      <c r="D154" s="15" t="s">
        <v>151</v>
      </c>
      <c r="E154" s="21">
        <v>0</v>
      </c>
      <c r="F154" s="15">
        <f>Tabelle1!E153-Hoja1!E154</f>
        <v>8.4404519999999997E-2</v>
      </c>
      <c r="G154" s="15">
        <f t="shared" si="2"/>
        <v>8.4404519999999997E-2</v>
      </c>
      <c r="I154" s="21">
        <v>0</v>
      </c>
    </row>
    <row r="155" spans="4:9">
      <c r="D155" s="15" t="s">
        <v>152</v>
      </c>
      <c r="E155" s="21">
        <v>0</v>
      </c>
      <c r="F155" s="15">
        <f>Tabelle1!E154-Hoja1!E155</f>
        <v>8.4404519999999997E-2</v>
      </c>
      <c r="G155" s="15">
        <f t="shared" si="2"/>
        <v>8.4404519999999997E-2</v>
      </c>
      <c r="I155" s="21">
        <v>0</v>
      </c>
    </row>
    <row r="156" spans="4:9">
      <c r="D156" s="15" t="s">
        <v>153</v>
      </c>
      <c r="E156" s="21">
        <v>0</v>
      </c>
      <c r="F156" s="15">
        <f>Tabelle1!E155-Hoja1!E156</f>
        <v>8.4404519999999997E-2</v>
      </c>
      <c r="G156" s="15">
        <f t="shared" si="2"/>
        <v>8.4404519999999997E-2</v>
      </c>
      <c r="I156" s="21">
        <v>0</v>
      </c>
    </row>
    <row r="157" spans="4:9">
      <c r="D157" s="15" t="s">
        <v>154</v>
      </c>
      <c r="E157" s="21">
        <v>0</v>
      </c>
      <c r="F157" s="15">
        <f>Tabelle1!E156-Hoja1!E157</f>
        <v>8.4404519999999997E-2</v>
      </c>
      <c r="G157" s="15">
        <f t="shared" si="2"/>
        <v>8.4404519999999997E-2</v>
      </c>
      <c r="I157" s="21">
        <v>0</v>
      </c>
    </row>
    <row r="158" spans="4:9">
      <c r="D158" s="15" t="s">
        <v>155</v>
      </c>
      <c r="E158" s="21">
        <v>0</v>
      </c>
      <c r="F158" s="15">
        <f>Tabelle1!E157-Hoja1!E158</f>
        <v>8.4404519999999997E-2</v>
      </c>
      <c r="G158" s="15">
        <f t="shared" si="2"/>
        <v>8.4404519999999997E-2</v>
      </c>
      <c r="I158" s="21">
        <v>0</v>
      </c>
    </row>
    <row r="159" spans="4:9">
      <c r="D159" s="15" t="s">
        <v>156</v>
      </c>
      <c r="E159" s="21">
        <v>0</v>
      </c>
      <c r="F159" s="15">
        <f>Tabelle1!E158-Hoja1!E159</f>
        <v>8.4404519999999997E-2</v>
      </c>
      <c r="G159" s="15">
        <f t="shared" si="2"/>
        <v>8.4404519999999997E-2</v>
      </c>
      <c r="I159" s="21">
        <v>0</v>
      </c>
    </row>
    <row r="160" spans="4:9">
      <c r="D160" s="15" t="s">
        <v>157</v>
      </c>
      <c r="E160" s="21">
        <v>0</v>
      </c>
      <c r="F160" s="15">
        <f>Tabelle1!E159-Hoja1!E160</f>
        <v>8.4404519999999997E-2</v>
      </c>
      <c r="G160" s="15">
        <f t="shared" si="2"/>
        <v>8.4404519999999997E-2</v>
      </c>
      <c r="I160" s="21">
        <v>0</v>
      </c>
    </row>
    <row r="161" spans="4:9">
      <c r="D161" s="15" t="s">
        <v>158</v>
      </c>
      <c r="E161" s="21">
        <v>7.7180019666649704</v>
      </c>
      <c r="F161" s="15">
        <f>Tabelle1!E160-Hoja1!E161</f>
        <v>-7.5441730066649706</v>
      </c>
      <c r="G161" s="15">
        <f t="shared" si="2"/>
        <v>7.5441730066649706</v>
      </c>
      <c r="I161" s="21">
        <v>0</v>
      </c>
    </row>
    <row r="162" spans="4:9">
      <c r="D162" s="15" t="s">
        <v>159</v>
      </c>
      <c r="E162" s="21">
        <v>24.8024923898742</v>
      </c>
      <c r="F162" s="15">
        <f>Tabelle1!E161-Hoja1!E162</f>
        <v>-25.015039679874199</v>
      </c>
      <c r="G162" s="15">
        <f t="shared" si="2"/>
        <v>25.015039679874199</v>
      </c>
      <c r="I162" s="21">
        <v>0</v>
      </c>
    </row>
    <row r="163" spans="4:9">
      <c r="D163" s="15" t="s">
        <v>160</v>
      </c>
      <c r="E163" s="21">
        <v>79.811000291061703</v>
      </c>
      <c r="F163" s="15">
        <f>Tabelle1!E162-Hoja1!E163</f>
        <v>-79.9235339510617</v>
      </c>
      <c r="G163" s="15">
        <f t="shared" si="2"/>
        <v>79.9235339510617</v>
      </c>
      <c r="I163" s="21">
        <v>0</v>
      </c>
    </row>
    <row r="164" spans="4:9">
      <c r="D164" s="15" t="s">
        <v>161</v>
      </c>
      <c r="E164" s="21">
        <v>107.099815912072</v>
      </c>
      <c r="F164" s="15">
        <f>Tabelle1!E163-Hoja1!E164</f>
        <v>-107.212349572072</v>
      </c>
      <c r="G164" s="15">
        <f t="shared" si="2"/>
        <v>107.212349572072</v>
      </c>
      <c r="I164" s="21">
        <v>0</v>
      </c>
    </row>
    <row r="165" spans="4:9">
      <c r="D165" s="15" t="s">
        <v>162</v>
      </c>
      <c r="E165" s="21">
        <v>121.71639714608401</v>
      </c>
      <c r="F165" s="15">
        <f>Tabelle1!E164-Hoja1!E165</f>
        <v>-121.828930806084</v>
      </c>
      <c r="G165" s="15">
        <f t="shared" si="2"/>
        <v>121.828930806084</v>
      </c>
      <c r="I165" s="21">
        <v>0</v>
      </c>
    </row>
    <row r="166" spans="4:9">
      <c r="D166" s="15" t="s">
        <v>163</v>
      </c>
      <c r="E166" s="21">
        <v>121.937872433981</v>
      </c>
      <c r="F166" s="15">
        <f>Tabelle1!E165-Hoja1!E166</f>
        <v>-122.050406093981</v>
      </c>
      <c r="G166" s="15">
        <f t="shared" si="2"/>
        <v>122.050406093981</v>
      </c>
      <c r="I166" s="21">
        <v>0</v>
      </c>
    </row>
    <row r="167" spans="4:9">
      <c r="D167" s="15" t="s">
        <v>164</v>
      </c>
      <c r="E167" s="21">
        <v>120.33612523158899</v>
      </c>
      <c r="F167" s="15">
        <f>Tabelle1!E166-Hoja1!E167</f>
        <v>-120.44865889158899</v>
      </c>
      <c r="G167" s="15">
        <f t="shared" si="2"/>
        <v>120.44865889158899</v>
      </c>
      <c r="I167" s="21">
        <v>0</v>
      </c>
    </row>
    <row r="168" spans="4:9">
      <c r="D168" s="15" t="s">
        <v>165</v>
      </c>
      <c r="E168" s="21">
        <v>115.46817355119001</v>
      </c>
      <c r="F168" s="15">
        <f>Tabelle1!E167-Hoja1!E168</f>
        <v>-115.58070721119</v>
      </c>
      <c r="G168" s="15">
        <f t="shared" si="2"/>
        <v>115.58070721119</v>
      </c>
      <c r="I168" s="21">
        <v>0</v>
      </c>
    </row>
    <row r="169" spans="4:9">
      <c r="D169" s="15" t="s">
        <v>166</v>
      </c>
      <c r="E169" s="21">
        <v>103.961922892209</v>
      </c>
      <c r="F169" s="15">
        <f>Tabelle1!E168-Hoja1!E169</f>
        <v>-104.074456552209</v>
      </c>
      <c r="G169" s="15">
        <f t="shared" si="2"/>
        <v>104.074456552209</v>
      </c>
      <c r="I169" s="21">
        <v>0</v>
      </c>
    </row>
    <row r="170" spans="4:9">
      <c r="D170" s="15" t="s">
        <v>167</v>
      </c>
      <c r="E170" s="21">
        <v>69.811447630218296</v>
      </c>
      <c r="F170" s="15">
        <f>Tabelle1!E169-Hoja1!E170</f>
        <v>-69.886028240218295</v>
      </c>
      <c r="G170" s="15">
        <f t="shared" si="2"/>
        <v>69.886028240218295</v>
      </c>
      <c r="I170" s="21">
        <v>0</v>
      </c>
    </row>
    <row r="171" spans="4:9">
      <c r="D171" s="15" t="s">
        <v>168</v>
      </c>
      <c r="E171" s="21">
        <v>21.8763505883968</v>
      </c>
      <c r="F171" s="15">
        <f>Tabelle1!E170-Hoja1!E171</f>
        <v>-21.7192062683968</v>
      </c>
      <c r="G171" s="15">
        <f t="shared" si="2"/>
        <v>21.7192062683968</v>
      </c>
      <c r="I171" s="21">
        <v>0</v>
      </c>
    </row>
    <row r="172" spans="4:9">
      <c r="D172" s="15" t="s">
        <v>169</v>
      </c>
      <c r="E172" s="21">
        <v>15.5380795391326</v>
      </c>
      <c r="F172" s="15">
        <f>Tabelle1!E171-Hoja1!E172</f>
        <v>-15.4132194531326</v>
      </c>
      <c r="G172" s="15">
        <f t="shared" si="2"/>
        <v>15.4132194531326</v>
      </c>
      <c r="I172" s="21">
        <v>0</v>
      </c>
    </row>
    <row r="173" spans="4:9">
      <c r="D173" s="15" t="s">
        <v>170</v>
      </c>
      <c r="E173" s="21">
        <v>1.23695410268465</v>
      </c>
      <c r="F173" s="15">
        <f>Tabelle1!E172-Hoja1!E173</f>
        <v>-1.0772294626846499</v>
      </c>
      <c r="G173" s="15">
        <f t="shared" si="2"/>
        <v>1.0772294626846499</v>
      </c>
      <c r="I173" s="21">
        <v>0</v>
      </c>
    </row>
    <row r="174" spans="4:9">
      <c r="D174" s="15" t="s">
        <v>171</v>
      </c>
      <c r="E174" s="21">
        <v>0</v>
      </c>
      <c r="F174" s="15">
        <f>Tabelle1!E173-Hoja1!E174</f>
        <v>0.1681821</v>
      </c>
      <c r="G174" s="15">
        <f t="shared" si="2"/>
        <v>0.1681821</v>
      </c>
      <c r="I174" s="21">
        <v>0</v>
      </c>
    </row>
    <row r="175" spans="4:9">
      <c r="D175" s="15" t="s">
        <v>172</v>
      </c>
      <c r="E175" s="21">
        <v>0</v>
      </c>
      <c r="F175" s="15">
        <f>Tabelle1!E174-Hoja1!E175</f>
        <v>0.1681821</v>
      </c>
      <c r="G175" s="15">
        <f t="shared" si="2"/>
        <v>0.1681821</v>
      </c>
      <c r="I175" s="21">
        <v>0</v>
      </c>
    </row>
    <row r="176" spans="4:9">
      <c r="D176" s="15" t="s">
        <v>173</v>
      </c>
      <c r="E176" s="21">
        <v>0</v>
      </c>
      <c r="F176" s="15">
        <f>Tabelle1!E175-Hoja1!E176</f>
        <v>8.4404519999999997E-2</v>
      </c>
      <c r="G176" s="15">
        <f t="shared" si="2"/>
        <v>8.4404519999999997E-2</v>
      </c>
      <c r="I176" s="21">
        <v>0</v>
      </c>
    </row>
    <row r="177" spans="4:9">
      <c r="D177" s="15" t="s">
        <v>174</v>
      </c>
      <c r="E177" s="21">
        <v>0</v>
      </c>
      <c r="F177" s="15">
        <f>Tabelle1!E176-Hoja1!E177</f>
        <v>8.4404519999999997E-2</v>
      </c>
      <c r="G177" s="15">
        <f t="shared" si="2"/>
        <v>8.4404519999999997E-2</v>
      </c>
      <c r="I177" s="21">
        <v>0</v>
      </c>
    </row>
    <row r="178" spans="4:9">
      <c r="D178" s="15" t="s">
        <v>175</v>
      </c>
      <c r="E178" s="21">
        <v>0</v>
      </c>
      <c r="F178" s="15">
        <f>Tabelle1!E177-Hoja1!E178</f>
        <v>8.4404519999999997E-2</v>
      </c>
      <c r="G178" s="15">
        <f t="shared" si="2"/>
        <v>8.4404519999999997E-2</v>
      </c>
      <c r="I178" s="21">
        <v>0</v>
      </c>
    </row>
    <row r="179" spans="4:9">
      <c r="D179" s="15" t="s">
        <v>176</v>
      </c>
      <c r="E179" s="21">
        <v>0</v>
      </c>
      <c r="F179" s="15">
        <f>Tabelle1!E178-Hoja1!E179</f>
        <v>8.4404519999999997E-2</v>
      </c>
      <c r="G179" s="15">
        <f t="shared" si="2"/>
        <v>8.4404519999999997E-2</v>
      </c>
      <c r="I179" s="21">
        <v>0</v>
      </c>
    </row>
    <row r="180" spans="4:9">
      <c r="D180" s="15" t="s">
        <v>177</v>
      </c>
      <c r="E180" s="21">
        <v>0</v>
      </c>
      <c r="F180" s="15">
        <f>Tabelle1!E179-Hoja1!E180</f>
        <v>8.4404519999999997E-2</v>
      </c>
      <c r="G180" s="15">
        <f t="shared" si="2"/>
        <v>8.4404519999999997E-2</v>
      </c>
      <c r="I180" s="21">
        <v>0</v>
      </c>
    </row>
    <row r="181" spans="4:9">
      <c r="D181" s="15" t="s">
        <v>178</v>
      </c>
      <c r="E181" s="21">
        <v>0</v>
      </c>
      <c r="F181" s="15">
        <f>Tabelle1!E180-Hoja1!E181</f>
        <v>8.4404519999999997E-2</v>
      </c>
      <c r="G181" s="15">
        <f t="shared" si="2"/>
        <v>8.4404519999999997E-2</v>
      </c>
      <c r="I181" s="21">
        <v>0</v>
      </c>
    </row>
    <row r="182" spans="4:9">
      <c r="D182" s="15" t="s">
        <v>179</v>
      </c>
      <c r="E182" s="21">
        <v>0</v>
      </c>
      <c r="F182" s="15">
        <f>Tabelle1!E181-Hoja1!E182</f>
        <v>8.4404519999999997E-2</v>
      </c>
      <c r="G182" s="15">
        <f t="shared" si="2"/>
        <v>8.4404519999999997E-2</v>
      </c>
      <c r="I182" s="21">
        <v>0</v>
      </c>
    </row>
    <row r="183" spans="4:9">
      <c r="D183" s="15" t="s">
        <v>180</v>
      </c>
      <c r="E183" s="21">
        <v>0</v>
      </c>
      <c r="F183" s="15">
        <f>Tabelle1!E182-Hoja1!E183</f>
        <v>8.4404519999999997E-2</v>
      </c>
      <c r="G183" s="15">
        <f t="shared" si="2"/>
        <v>8.4404519999999997E-2</v>
      </c>
      <c r="I183" s="21">
        <v>0</v>
      </c>
    </row>
    <row r="184" spans="4:9">
      <c r="D184" s="15" t="s">
        <v>181</v>
      </c>
      <c r="E184" s="21">
        <v>0</v>
      </c>
      <c r="F184" s="15">
        <f>Tabelle1!E183-Hoja1!E184</f>
        <v>8.4404519999999997E-2</v>
      </c>
      <c r="G184" s="15">
        <f t="shared" si="2"/>
        <v>8.4404519999999997E-2</v>
      </c>
      <c r="I184" s="21">
        <v>0.15999999997438799</v>
      </c>
    </row>
    <row r="185" spans="4:9">
      <c r="D185" s="15" t="s">
        <v>182</v>
      </c>
      <c r="E185" s="21">
        <v>7.7932707197122397</v>
      </c>
      <c r="F185" s="15">
        <f>Tabelle1!E184-Hoja1!E185</f>
        <v>-7.6194417597122399</v>
      </c>
      <c r="G185" s="15">
        <f t="shared" si="2"/>
        <v>7.6194417597122399</v>
      </c>
      <c r="I185" s="21">
        <v>6.6400000000139698</v>
      </c>
    </row>
    <row r="186" spans="4:9">
      <c r="D186" s="15" t="s">
        <v>183</v>
      </c>
      <c r="E186" s="21">
        <v>21.244639951414701</v>
      </c>
      <c r="F186" s="15">
        <f>Tabelle1!E185-Hoja1!E186</f>
        <v>-21.457187241414701</v>
      </c>
      <c r="G186" s="15">
        <f t="shared" si="2"/>
        <v>21.457187241414701</v>
      </c>
      <c r="I186" s="21">
        <v>21.729999999981299</v>
      </c>
    </row>
    <row r="187" spans="4:9">
      <c r="D187" s="15" t="s">
        <v>184</v>
      </c>
      <c r="E187" s="21">
        <v>76.221740119799307</v>
      </c>
      <c r="F187" s="15">
        <f>Tabelle1!E186-Hoja1!E187</f>
        <v>-76.334273779799304</v>
      </c>
      <c r="G187" s="15">
        <f t="shared" si="2"/>
        <v>76.334273779799304</v>
      </c>
      <c r="I187" s="21">
        <v>48.75</v>
      </c>
    </row>
    <row r="188" spans="4:9">
      <c r="D188" s="15" t="s">
        <v>185</v>
      </c>
      <c r="E188" s="21">
        <v>105.421068071845</v>
      </c>
      <c r="F188" s="15">
        <f>Tabelle1!E187-Hoja1!E188</f>
        <v>-105.533601731845</v>
      </c>
      <c r="G188" s="15">
        <f t="shared" si="2"/>
        <v>105.533601731845</v>
      </c>
      <c r="I188" s="21">
        <v>109.170000000041</v>
      </c>
    </row>
    <row r="189" spans="4:9">
      <c r="D189" s="15" t="s">
        <v>186</v>
      </c>
      <c r="E189" s="21">
        <v>121.16871160949</v>
      </c>
      <c r="F189" s="15">
        <f>Tabelle1!E188-Hoja1!E189</f>
        <v>-121.28124526949</v>
      </c>
      <c r="G189" s="15">
        <f t="shared" si="2"/>
        <v>121.28124526949</v>
      </c>
      <c r="I189" s="21">
        <v>123.159999999974</v>
      </c>
    </row>
    <row r="190" spans="4:9">
      <c r="D190" s="15" t="s">
        <v>187</v>
      </c>
      <c r="E190" s="21">
        <v>122.885422467922</v>
      </c>
      <c r="F190" s="15">
        <f>Tabelle1!E189-Hoja1!E190</f>
        <v>-122.997956127922</v>
      </c>
      <c r="G190" s="15">
        <f t="shared" si="2"/>
        <v>122.997956127922</v>
      </c>
      <c r="I190" s="21">
        <v>126.059999999997</v>
      </c>
    </row>
    <row r="191" spans="4:9">
      <c r="D191" s="15" t="s">
        <v>188</v>
      </c>
      <c r="E191" s="21">
        <v>122.85848778243501</v>
      </c>
      <c r="F191" s="15">
        <f>Tabelle1!E190-Hoja1!E191</f>
        <v>-122.971021442435</v>
      </c>
      <c r="G191" s="15">
        <f t="shared" si="2"/>
        <v>122.971021442435</v>
      </c>
      <c r="I191" s="21">
        <v>126.23999999999</v>
      </c>
    </row>
    <row r="192" spans="4:9">
      <c r="D192" s="15" t="s">
        <v>189</v>
      </c>
      <c r="E192" s="21">
        <v>116.70866783675901</v>
      </c>
      <c r="F192" s="15">
        <f>Tabelle1!E191-Hoja1!E192</f>
        <v>-116.821201496759</v>
      </c>
      <c r="G192" s="15">
        <f t="shared" si="2"/>
        <v>116.821201496759</v>
      </c>
      <c r="I192" s="21">
        <v>119.940000000002</v>
      </c>
    </row>
    <row r="193" spans="4:9">
      <c r="D193" s="15" t="s">
        <v>190</v>
      </c>
      <c r="E193" s="21">
        <v>103.50658004960999</v>
      </c>
      <c r="F193" s="15">
        <f>Tabelle1!E192-Hoja1!E193</f>
        <v>-103.61911370960999</v>
      </c>
      <c r="G193" s="15">
        <f t="shared" si="2"/>
        <v>103.61911370960999</v>
      </c>
      <c r="I193" s="21">
        <v>111.71000000002</v>
      </c>
    </row>
    <row r="194" spans="4:9">
      <c r="D194" s="15" t="s">
        <v>191</v>
      </c>
      <c r="E194" s="21">
        <v>73.705567511017804</v>
      </c>
      <c r="F194" s="15">
        <f>Tabelle1!E193-Hoja1!E194</f>
        <v>-73.780148121017803</v>
      </c>
      <c r="G194" s="15">
        <f t="shared" si="2"/>
        <v>73.780148121017803</v>
      </c>
      <c r="I194" s="21">
        <v>89.6300000000046</v>
      </c>
    </row>
    <row r="195" spans="4:9">
      <c r="D195" s="15" t="s">
        <v>192</v>
      </c>
      <c r="E195" s="21">
        <v>31.844214879566</v>
      </c>
      <c r="F195" s="15">
        <f>Tabelle1!E194-Hoja1!E195</f>
        <v>-31.687070559565999</v>
      </c>
      <c r="G195" s="15">
        <f t="shared" si="2"/>
        <v>31.687070559565999</v>
      </c>
      <c r="I195" s="21">
        <v>42.699999999953398</v>
      </c>
    </row>
    <row r="196" spans="4:9">
      <c r="D196" s="15" t="s">
        <v>193</v>
      </c>
      <c r="E196" s="21">
        <v>18.203645300384</v>
      </c>
      <c r="F196" s="15">
        <f>Tabelle1!E195-Hoja1!E196</f>
        <v>-18.078785214383998</v>
      </c>
      <c r="G196" s="15">
        <f t="shared" si="2"/>
        <v>18.078785214383998</v>
      </c>
      <c r="I196" s="21">
        <v>16.640000000013899</v>
      </c>
    </row>
    <row r="197" spans="4:9">
      <c r="D197" s="15" t="s">
        <v>194</v>
      </c>
      <c r="E197" s="21">
        <v>1.2062105785629</v>
      </c>
      <c r="F197" s="15">
        <f>Tabelle1!E196-Hoja1!E197</f>
        <v>-1.0464859385629</v>
      </c>
      <c r="G197" s="15">
        <f t="shared" si="2"/>
        <v>1.0464859385629</v>
      </c>
      <c r="I197" s="21">
        <v>1.20000000001164</v>
      </c>
    </row>
    <row r="198" spans="4:9">
      <c r="D198" s="15" t="s">
        <v>195</v>
      </c>
      <c r="E198" s="21">
        <v>0</v>
      </c>
      <c r="F198" s="15">
        <f>Tabelle1!E197-Hoja1!E198</f>
        <v>0.1681821</v>
      </c>
      <c r="G198" s="15">
        <f t="shared" si="2"/>
        <v>0.1681821</v>
      </c>
      <c r="I198" s="21">
        <v>0</v>
      </c>
    </row>
    <row r="199" spans="4:9">
      <c r="D199" s="15" t="s">
        <v>196</v>
      </c>
      <c r="E199" s="21">
        <v>0</v>
      </c>
      <c r="F199" s="15">
        <f>Tabelle1!E198-Hoja1!E199</f>
        <v>0.1681821</v>
      </c>
      <c r="G199" s="15">
        <f t="shared" si="2"/>
        <v>0.1681821</v>
      </c>
      <c r="I199" s="21">
        <v>0</v>
      </c>
    </row>
    <row r="200" spans="4:9">
      <c r="D200" s="15" t="s">
        <v>197</v>
      </c>
      <c r="E200" s="21">
        <v>0</v>
      </c>
      <c r="F200" s="15">
        <f>Tabelle1!E199-Hoja1!E200</f>
        <v>7.803707E-2</v>
      </c>
      <c r="G200" s="15">
        <f t="shared" si="2"/>
        <v>7.803707E-2</v>
      </c>
      <c r="I200" s="21">
        <v>0</v>
      </c>
    </row>
    <row r="201" spans="4:9">
      <c r="D201" s="15" t="s">
        <v>198</v>
      </c>
      <c r="E201" s="21">
        <v>0</v>
      </c>
      <c r="F201" s="15">
        <f>Tabelle1!E200-Hoja1!E201</f>
        <v>7.803707E-2</v>
      </c>
      <c r="G201" s="15">
        <f t="shared" ref="G201:G264" si="3">ABS(F201)</f>
        <v>7.803707E-2</v>
      </c>
      <c r="I201" s="21">
        <v>0</v>
      </c>
    </row>
    <row r="202" spans="4:9">
      <c r="D202" s="15" t="s">
        <v>199</v>
      </c>
      <c r="E202" s="21">
        <v>0</v>
      </c>
      <c r="F202" s="15">
        <f>Tabelle1!E201-Hoja1!E202</f>
        <v>7.803707E-2</v>
      </c>
      <c r="G202" s="15">
        <f t="shared" si="3"/>
        <v>7.803707E-2</v>
      </c>
      <c r="I202" s="21">
        <v>0</v>
      </c>
    </row>
    <row r="203" spans="4:9">
      <c r="D203" s="15" t="s">
        <v>200</v>
      </c>
      <c r="E203" s="21">
        <v>0</v>
      </c>
      <c r="F203" s="15">
        <f>Tabelle1!E202-Hoja1!E203</f>
        <v>7.803707E-2</v>
      </c>
      <c r="G203" s="15">
        <f t="shared" si="3"/>
        <v>7.803707E-2</v>
      </c>
      <c r="I203" s="21">
        <v>0</v>
      </c>
    </row>
    <row r="204" spans="4:9">
      <c r="D204" s="15" t="s">
        <v>201</v>
      </c>
      <c r="E204" s="21">
        <v>0</v>
      </c>
      <c r="F204" s="15">
        <f>Tabelle1!E203-Hoja1!E204</f>
        <v>7.803707E-2</v>
      </c>
      <c r="G204" s="15">
        <f t="shared" si="3"/>
        <v>7.803707E-2</v>
      </c>
      <c r="I204" s="21">
        <v>0</v>
      </c>
    </row>
    <row r="205" spans="4:9">
      <c r="D205" s="15" t="s">
        <v>202</v>
      </c>
      <c r="E205" s="21">
        <v>0</v>
      </c>
      <c r="F205" s="15">
        <f>Tabelle1!E204-Hoja1!E205</f>
        <v>7.803707E-2</v>
      </c>
      <c r="G205" s="15">
        <f t="shared" si="3"/>
        <v>7.803707E-2</v>
      </c>
      <c r="I205" s="21">
        <v>0</v>
      </c>
    </row>
    <row r="206" spans="4:9">
      <c r="D206" s="15" t="s">
        <v>203</v>
      </c>
      <c r="E206" s="21">
        <v>0</v>
      </c>
      <c r="F206" s="15">
        <f>Tabelle1!E205-Hoja1!E206</f>
        <v>7.803707E-2</v>
      </c>
      <c r="G206" s="15">
        <f t="shared" si="3"/>
        <v>7.803707E-2</v>
      </c>
      <c r="I206" s="21">
        <v>0</v>
      </c>
    </row>
    <row r="207" spans="4:9">
      <c r="D207" s="15" t="s">
        <v>204</v>
      </c>
      <c r="E207" s="21">
        <v>0</v>
      </c>
      <c r="F207" s="15">
        <f>Tabelle1!E206-Hoja1!E207</f>
        <v>7.803707E-2</v>
      </c>
      <c r="G207" s="15">
        <f t="shared" si="3"/>
        <v>7.803707E-2</v>
      </c>
      <c r="I207" s="21">
        <v>0</v>
      </c>
    </row>
    <row r="208" spans="4:9">
      <c r="D208" s="15" t="s">
        <v>205</v>
      </c>
      <c r="E208" s="21">
        <v>0</v>
      </c>
      <c r="F208" s="15">
        <f>Tabelle1!E207-Hoja1!E208</f>
        <v>7.803707E-2</v>
      </c>
      <c r="G208" s="15">
        <f t="shared" si="3"/>
        <v>7.803707E-2</v>
      </c>
      <c r="I208" s="21">
        <v>0.200000000011641</v>
      </c>
    </row>
    <row r="209" spans="4:9">
      <c r="D209" s="15" t="s">
        <v>206</v>
      </c>
      <c r="E209" s="21">
        <v>7.8091330289365404</v>
      </c>
      <c r="F209" s="15">
        <f>Tabelle1!E208-Hoja1!E209</f>
        <v>-7.6416715289365404</v>
      </c>
      <c r="G209" s="15">
        <f t="shared" si="3"/>
        <v>7.6416715289365404</v>
      </c>
      <c r="I209" s="21">
        <v>6.2399999999906797</v>
      </c>
    </row>
    <row r="210" spans="4:9">
      <c r="D210" s="15" t="s">
        <v>207</v>
      </c>
      <c r="E210" s="21">
        <v>38.105509526198198</v>
      </c>
      <c r="F210" s="15">
        <f>Tabelle1!E209-Hoja1!E210</f>
        <v>-38.463965826198198</v>
      </c>
      <c r="G210" s="15">
        <f t="shared" si="3"/>
        <v>38.463965826198198</v>
      </c>
      <c r="I210" s="21">
        <v>39.6900000000023</v>
      </c>
    </row>
    <row r="211" spans="4:9">
      <c r="D211" s="15" t="s">
        <v>208</v>
      </c>
      <c r="E211" s="21">
        <v>85.746592514679506</v>
      </c>
      <c r="F211" s="15">
        <f>Tabelle1!E210-Hoja1!E211</f>
        <v>-86.502441284679506</v>
      </c>
      <c r="G211" s="15">
        <f t="shared" si="3"/>
        <v>86.502441284679506</v>
      </c>
      <c r="I211" s="21">
        <v>85.469999999972003</v>
      </c>
    </row>
    <row r="212" spans="4:9">
      <c r="D212" s="15" t="s">
        <v>209</v>
      </c>
      <c r="E212" s="21">
        <v>113.143933765432</v>
      </c>
      <c r="F212" s="15">
        <f>Tabelle1!E211-Hoja1!E212</f>
        <v>-113.899782535432</v>
      </c>
      <c r="G212" s="15">
        <f t="shared" si="3"/>
        <v>113.899782535432</v>
      </c>
      <c r="I212" s="21">
        <v>118.780000000027</v>
      </c>
    </row>
    <row r="213" spans="4:9">
      <c r="D213" s="15" t="s">
        <v>210</v>
      </c>
      <c r="E213" s="21">
        <v>125.25683034098201</v>
      </c>
      <c r="F213" s="15">
        <f>Tabelle1!E212-Hoja1!E213</f>
        <v>-126.01267911098201</v>
      </c>
      <c r="G213" s="15">
        <f t="shared" si="3"/>
        <v>126.01267911098201</v>
      </c>
      <c r="I213" s="21">
        <v>129.369999999995</v>
      </c>
    </row>
    <row r="214" spans="4:9">
      <c r="D214" s="15" t="s">
        <v>211</v>
      </c>
      <c r="E214" s="21">
        <v>128.86313861430699</v>
      </c>
      <c r="F214" s="15">
        <f>Tabelle1!E213-Hoja1!E214</f>
        <v>-129.61898738430699</v>
      </c>
      <c r="G214" s="15">
        <f t="shared" si="3"/>
        <v>129.61898738430699</v>
      </c>
      <c r="I214" s="21">
        <v>131.729999999981</v>
      </c>
    </row>
    <row r="215" spans="4:9">
      <c r="D215" s="15" t="s">
        <v>212</v>
      </c>
      <c r="E215" s="21">
        <v>127.35595094090201</v>
      </c>
      <c r="F215" s="15">
        <f>Tabelle1!E214-Hoja1!E215</f>
        <v>-128.11179971090201</v>
      </c>
      <c r="G215" s="15">
        <f t="shared" si="3"/>
        <v>128.11179971090201</v>
      </c>
      <c r="I215" s="21">
        <v>127.760000000009</v>
      </c>
    </row>
    <row r="216" spans="4:9">
      <c r="D216" s="15" t="s">
        <v>213</v>
      </c>
      <c r="E216" s="21">
        <v>120.52973352456</v>
      </c>
      <c r="F216" s="15">
        <f>Tabelle1!E215-Hoja1!E216</f>
        <v>-121.28558229456</v>
      </c>
      <c r="G216" s="15">
        <f t="shared" si="3"/>
        <v>121.28558229456</v>
      </c>
      <c r="I216" s="21">
        <v>121.160000000032</v>
      </c>
    </row>
    <row r="217" spans="4:9">
      <c r="D217" s="15" t="s">
        <v>214</v>
      </c>
      <c r="E217" s="21">
        <v>109.834310982646</v>
      </c>
      <c r="F217" s="15">
        <f>Tabelle1!E216-Hoja1!E217</f>
        <v>-110.590159752646</v>
      </c>
      <c r="G217" s="15">
        <f t="shared" si="3"/>
        <v>110.590159752646</v>
      </c>
      <c r="I217" s="21">
        <v>116.44999999995299</v>
      </c>
    </row>
    <row r="218" spans="4:9">
      <c r="D218" s="15" t="s">
        <v>215</v>
      </c>
      <c r="E218" s="21">
        <v>80.271995980139906</v>
      </c>
      <c r="F218" s="15">
        <f>Tabelle1!E217-Hoja1!E218</f>
        <v>-80.937417680139902</v>
      </c>
      <c r="G218" s="15">
        <f t="shared" si="3"/>
        <v>80.937417680139902</v>
      </c>
      <c r="I218" s="21">
        <v>95.490000000048894</v>
      </c>
    </row>
    <row r="219" spans="4:9">
      <c r="D219" s="15" t="s">
        <v>216</v>
      </c>
      <c r="E219" s="21">
        <v>41.623232002096401</v>
      </c>
      <c r="F219" s="15">
        <f>Tabelle1!E218-Hoja1!E219</f>
        <v>-41.886167672096398</v>
      </c>
      <c r="G219" s="15">
        <f t="shared" si="3"/>
        <v>41.886167672096398</v>
      </c>
      <c r="I219" s="21">
        <v>57.039999999979003</v>
      </c>
    </row>
    <row r="220" spans="4:9">
      <c r="D220" s="15" t="s">
        <v>217</v>
      </c>
      <c r="E220" s="21">
        <v>15.6620858725198</v>
      </c>
      <c r="F220" s="15">
        <f>Tabelle1!E219-Hoja1!E220</f>
        <v>-15.6878550415198</v>
      </c>
      <c r="G220" s="15">
        <f t="shared" si="3"/>
        <v>15.6878550415198</v>
      </c>
      <c r="I220" s="21">
        <v>16.1599999999743</v>
      </c>
    </row>
    <row r="221" spans="4:9">
      <c r="D221" s="15" t="s">
        <v>218</v>
      </c>
      <c r="E221" s="21">
        <v>1.2229447129845801</v>
      </c>
      <c r="F221" s="15">
        <f>Tabelle1!E220-Hoja1!E221</f>
        <v>-1.0823772129845801</v>
      </c>
      <c r="G221" s="15">
        <f t="shared" si="3"/>
        <v>1.0823772129845801</v>
      </c>
      <c r="I221" s="21">
        <v>1.1000000000349199</v>
      </c>
    </row>
    <row r="222" spans="4:9">
      <c r="D222" s="15" t="s">
        <v>219</v>
      </c>
      <c r="E222" s="21">
        <v>0</v>
      </c>
      <c r="F222" s="15">
        <f>Tabelle1!E221-Hoja1!E222</f>
        <v>0.14902496000000001</v>
      </c>
      <c r="G222" s="15">
        <f t="shared" si="3"/>
        <v>0.14902496000000001</v>
      </c>
      <c r="I222" s="21">
        <v>0</v>
      </c>
    </row>
    <row r="223" spans="4:9">
      <c r="D223" s="15" t="s">
        <v>220</v>
      </c>
      <c r="E223" s="21">
        <v>0</v>
      </c>
      <c r="F223" s="15">
        <f>Tabelle1!E222-Hoja1!E223</f>
        <v>0.14902496000000001</v>
      </c>
      <c r="G223" s="15">
        <f t="shared" si="3"/>
        <v>0.14902496000000001</v>
      </c>
      <c r="I223" s="21">
        <v>0</v>
      </c>
    </row>
    <row r="224" spans="4:9">
      <c r="D224" s="15" t="s">
        <v>221</v>
      </c>
      <c r="E224" s="21">
        <v>0</v>
      </c>
      <c r="F224" s="15">
        <f>Tabelle1!E223-Hoja1!E224</f>
        <v>7.803707E-2</v>
      </c>
      <c r="G224" s="15">
        <f t="shared" si="3"/>
        <v>7.803707E-2</v>
      </c>
      <c r="I224" s="21">
        <v>0</v>
      </c>
    </row>
    <row r="225" spans="4:9">
      <c r="D225" s="15" t="s">
        <v>222</v>
      </c>
      <c r="E225" s="21">
        <v>0</v>
      </c>
      <c r="F225" s="15">
        <f>Tabelle1!E224-Hoja1!E225</f>
        <v>7.803707E-2</v>
      </c>
      <c r="G225" s="15">
        <f t="shared" si="3"/>
        <v>7.803707E-2</v>
      </c>
      <c r="I225" s="21">
        <v>0</v>
      </c>
    </row>
    <row r="226" spans="4:9">
      <c r="D226" s="15" t="s">
        <v>223</v>
      </c>
      <c r="E226" s="21">
        <v>0</v>
      </c>
      <c r="F226" s="15">
        <f>Tabelle1!E225-Hoja1!E226</f>
        <v>7.803707E-2</v>
      </c>
      <c r="G226" s="15">
        <f t="shared" si="3"/>
        <v>7.803707E-2</v>
      </c>
      <c r="I226" s="21">
        <v>0</v>
      </c>
    </row>
    <row r="227" spans="4:9">
      <c r="D227" s="15" t="s">
        <v>224</v>
      </c>
      <c r="E227" s="21">
        <v>0</v>
      </c>
      <c r="F227" s="15">
        <f>Tabelle1!E226-Hoja1!E227</f>
        <v>7.803707E-2</v>
      </c>
      <c r="G227" s="15">
        <f t="shared" si="3"/>
        <v>7.803707E-2</v>
      </c>
      <c r="I227" s="21">
        <v>0</v>
      </c>
    </row>
    <row r="228" spans="4:9">
      <c r="D228" s="15" t="s">
        <v>225</v>
      </c>
      <c r="E228" s="21">
        <v>0</v>
      </c>
      <c r="F228" s="15">
        <f>Tabelle1!E227-Hoja1!E228</f>
        <v>7.803707E-2</v>
      </c>
      <c r="G228" s="15">
        <f t="shared" si="3"/>
        <v>7.803707E-2</v>
      </c>
      <c r="I228" s="21">
        <v>0</v>
      </c>
    </row>
    <row r="229" spans="4:9">
      <c r="D229" s="15" t="s">
        <v>226</v>
      </c>
      <c r="E229" s="21">
        <v>0</v>
      </c>
      <c r="F229" s="15">
        <f>Tabelle1!E228-Hoja1!E229</f>
        <v>7.803707E-2</v>
      </c>
      <c r="G229" s="15">
        <f t="shared" si="3"/>
        <v>7.803707E-2</v>
      </c>
      <c r="I229" s="21">
        <v>0</v>
      </c>
    </row>
    <row r="230" spans="4:9">
      <c r="D230" s="15" t="s">
        <v>227</v>
      </c>
      <c r="E230" s="21">
        <v>0</v>
      </c>
      <c r="F230" s="15">
        <f>Tabelle1!E229-Hoja1!E230</f>
        <v>7.803707E-2</v>
      </c>
      <c r="G230" s="15">
        <f t="shared" si="3"/>
        <v>7.803707E-2</v>
      </c>
      <c r="I230" s="21">
        <v>0</v>
      </c>
    </row>
    <row r="231" spans="4:9">
      <c r="D231" s="15" t="s">
        <v>228</v>
      </c>
      <c r="E231" s="21">
        <v>0</v>
      </c>
      <c r="F231" s="15">
        <f>Tabelle1!E230-Hoja1!E231</f>
        <v>7.803707E-2</v>
      </c>
      <c r="G231" s="15">
        <f t="shared" si="3"/>
        <v>7.803707E-2</v>
      </c>
      <c r="I231" s="21">
        <v>0</v>
      </c>
    </row>
    <row r="232" spans="4:9">
      <c r="D232" s="15" t="s">
        <v>229</v>
      </c>
      <c r="E232" s="21">
        <v>0</v>
      </c>
      <c r="F232" s="15">
        <f>Tabelle1!E231-Hoja1!E232</f>
        <v>7.803707E-2</v>
      </c>
      <c r="G232" s="15">
        <f t="shared" si="3"/>
        <v>7.803707E-2</v>
      </c>
      <c r="I232" s="21">
        <v>0.16999999998370099</v>
      </c>
    </row>
    <row r="233" spans="4:9">
      <c r="D233" s="15" t="s">
        <v>230</v>
      </c>
      <c r="E233" s="21">
        <v>6.01390120894043</v>
      </c>
      <c r="F233" s="15">
        <f>Tabelle1!E232-Hoja1!E233</f>
        <v>-5.8464397089404301</v>
      </c>
      <c r="G233" s="15">
        <f t="shared" si="3"/>
        <v>5.8464397089404301</v>
      </c>
      <c r="I233" s="21">
        <v>6.20999999996274</v>
      </c>
    </row>
    <row r="234" spans="4:9">
      <c r="D234" s="15" t="s">
        <v>231</v>
      </c>
      <c r="E234" s="21">
        <v>37.395373563267803</v>
      </c>
      <c r="F234" s="15">
        <f>Tabelle1!E233-Hoja1!E234</f>
        <v>-37.753829863267804</v>
      </c>
      <c r="G234" s="15">
        <f t="shared" si="3"/>
        <v>37.753829863267804</v>
      </c>
      <c r="I234" s="21">
        <v>38.730000000039503</v>
      </c>
    </row>
    <row r="235" spans="4:9">
      <c r="D235" s="15" t="s">
        <v>232</v>
      </c>
      <c r="E235" s="21">
        <v>83.410752409340702</v>
      </c>
      <c r="F235" s="15">
        <f>Tabelle1!E234-Hoja1!E235</f>
        <v>-84.166601179340702</v>
      </c>
      <c r="G235" s="15">
        <f t="shared" si="3"/>
        <v>84.166601179340702</v>
      </c>
      <c r="I235" s="21">
        <v>83.760000000009299</v>
      </c>
    </row>
    <row r="236" spans="4:9">
      <c r="D236" s="15" t="s">
        <v>233</v>
      </c>
      <c r="E236" s="21">
        <v>114.53274659492099</v>
      </c>
      <c r="F236" s="15">
        <f>Tabelle1!E235-Hoja1!E236</f>
        <v>-115.28859536492099</v>
      </c>
      <c r="G236" s="15">
        <f t="shared" si="3"/>
        <v>115.28859536492099</v>
      </c>
      <c r="I236" s="21">
        <v>117.469999999972</v>
      </c>
    </row>
    <row r="237" spans="4:9">
      <c r="D237" s="15" t="s">
        <v>234</v>
      </c>
      <c r="E237" s="21">
        <v>127.03641405608801</v>
      </c>
      <c r="F237" s="15">
        <f>Tabelle1!E236-Hoja1!E237</f>
        <v>-127.79226282608801</v>
      </c>
      <c r="G237" s="15">
        <f t="shared" si="3"/>
        <v>127.79226282608801</v>
      </c>
      <c r="I237" s="21">
        <v>131.71000000001999</v>
      </c>
    </row>
    <row r="238" spans="4:9">
      <c r="D238" s="15" t="s">
        <v>235</v>
      </c>
      <c r="E238" s="21">
        <v>127.416919888915</v>
      </c>
      <c r="F238" s="15">
        <f>Tabelle1!E237-Hoja1!E238</f>
        <v>-128.172768658915</v>
      </c>
      <c r="G238" s="15">
        <f t="shared" si="3"/>
        <v>128.172768658915</v>
      </c>
      <c r="I238" s="21">
        <v>113.01999999996001</v>
      </c>
    </row>
    <row r="239" spans="4:9">
      <c r="D239" s="15" t="s">
        <v>236</v>
      </c>
      <c r="E239" s="21">
        <v>124.66567957271501</v>
      </c>
      <c r="F239" s="15">
        <f>Tabelle1!E238-Hoja1!E239</f>
        <v>-125.42152834271501</v>
      </c>
      <c r="G239" s="15">
        <f t="shared" si="3"/>
        <v>125.42152834271501</v>
      </c>
      <c r="I239" s="21">
        <v>119.190000000002</v>
      </c>
    </row>
    <row r="240" spans="4:9">
      <c r="D240" s="15" t="s">
        <v>237</v>
      </c>
      <c r="E240" s="21">
        <v>119.185352042772</v>
      </c>
      <c r="F240" s="15">
        <f>Tabelle1!E239-Hoja1!E240</f>
        <v>-119.941200812772</v>
      </c>
      <c r="G240" s="15">
        <f t="shared" si="3"/>
        <v>119.941200812772</v>
      </c>
      <c r="I240" s="21">
        <v>122.900000000023</v>
      </c>
    </row>
    <row r="241" spans="4:9">
      <c r="D241" s="15" t="s">
        <v>238</v>
      </c>
      <c r="E241" s="21">
        <v>109.379358924371</v>
      </c>
      <c r="F241" s="15">
        <f>Tabelle1!E240-Hoja1!E241</f>
        <v>-110.135207694371</v>
      </c>
      <c r="G241" s="15">
        <f t="shared" si="3"/>
        <v>110.135207694371</v>
      </c>
      <c r="I241" s="21">
        <v>115.159999999974</v>
      </c>
    </row>
    <row r="242" spans="4:9">
      <c r="D242" s="15" t="s">
        <v>239</v>
      </c>
      <c r="E242" s="21">
        <v>80.3402062434062</v>
      </c>
      <c r="F242" s="15">
        <f>Tabelle1!E241-Hoja1!E242</f>
        <v>-81.005627943406196</v>
      </c>
      <c r="G242" s="15">
        <f t="shared" si="3"/>
        <v>81.005627943406196</v>
      </c>
      <c r="I242" s="21">
        <v>94.050000000046495</v>
      </c>
    </row>
    <row r="243" spans="4:9">
      <c r="D243" s="15" t="s">
        <v>240</v>
      </c>
      <c r="E243" s="21">
        <v>41.156219379315701</v>
      </c>
      <c r="F243" s="15">
        <f>Tabelle1!E242-Hoja1!E243</f>
        <v>-41.419155049315698</v>
      </c>
      <c r="G243" s="15">
        <f t="shared" si="3"/>
        <v>41.419155049315698</v>
      </c>
      <c r="I243" s="21">
        <v>55.519999999960397</v>
      </c>
    </row>
    <row r="244" spans="4:9">
      <c r="D244" s="15" t="s">
        <v>241</v>
      </c>
      <c r="E244" s="21">
        <v>15.475959790253</v>
      </c>
      <c r="F244" s="15">
        <f>Tabelle1!E243-Hoja1!E244</f>
        <v>-15.501728959253001</v>
      </c>
      <c r="G244" s="15">
        <f t="shared" si="3"/>
        <v>15.501728959253001</v>
      </c>
      <c r="I244" s="21">
        <v>15.2700000000186</v>
      </c>
    </row>
    <row r="245" spans="4:9">
      <c r="D245" s="15" t="s">
        <v>242</v>
      </c>
      <c r="E245" s="21">
        <v>0</v>
      </c>
      <c r="F245" s="15">
        <f>Tabelle1!E244-Hoja1!E245</f>
        <v>0.14056750000000001</v>
      </c>
      <c r="G245" s="15">
        <f t="shared" si="3"/>
        <v>0.14056750000000001</v>
      </c>
      <c r="I245" s="21">
        <v>0.96999999997205999</v>
      </c>
    </row>
    <row r="246" spans="4:9">
      <c r="D246" s="15" t="s">
        <v>243</v>
      </c>
      <c r="E246" s="21">
        <v>0</v>
      </c>
      <c r="F246" s="15">
        <f>Tabelle1!E245-Hoja1!E246</f>
        <v>0.14902496000000001</v>
      </c>
      <c r="G246" s="15">
        <f t="shared" si="3"/>
        <v>0.14902496000000001</v>
      </c>
      <c r="I246" s="21">
        <v>0</v>
      </c>
    </row>
    <row r="247" spans="4:9">
      <c r="D247" s="15" t="s">
        <v>244</v>
      </c>
      <c r="E247" s="21">
        <v>0</v>
      </c>
      <c r="F247" s="15">
        <f>Tabelle1!E246-Hoja1!E247</f>
        <v>0.14902496000000001</v>
      </c>
      <c r="G247" s="15">
        <f t="shared" si="3"/>
        <v>0.14902496000000001</v>
      </c>
      <c r="I247" s="21">
        <v>0</v>
      </c>
    </row>
    <row r="248" spans="4:9">
      <c r="D248" s="15" t="s">
        <v>245</v>
      </c>
      <c r="E248" s="21">
        <v>0</v>
      </c>
      <c r="F248" s="15">
        <f>Tabelle1!E247-Hoja1!E248</f>
        <v>7.803707E-2</v>
      </c>
      <c r="G248" s="15">
        <f t="shared" si="3"/>
        <v>7.803707E-2</v>
      </c>
      <c r="I248" s="21">
        <v>6.9999999948777203E-2</v>
      </c>
    </row>
    <row r="249" spans="4:9">
      <c r="D249" s="15" t="s">
        <v>246</v>
      </c>
      <c r="E249" s="21">
        <v>0</v>
      </c>
      <c r="F249" s="15">
        <f>Tabelle1!E248-Hoja1!E249</f>
        <v>7.803707E-2</v>
      </c>
      <c r="G249" s="15">
        <f t="shared" si="3"/>
        <v>7.803707E-2</v>
      </c>
      <c r="I249" s="21">
        <v>0</v>
      </c>
    </row>
    <row r="250" spans="4:9">
      <c r="D250" s="15" t="s">
        <v>247</v>
      </c>
      <c r="E250" s="21">
        <v>0</v>
      </c>
      <c r="F250" s="15">
        <f>Tabelle1!E249-Hoja1!E250</f>
        <v>7.803707E-2</v>
      </c>
      <c r="G250" s="15">
        <f t="shared" si="3"/>
        <v>7.803707E-2</v>
      </c>
      <c r="I250" s="21">
        <v>0</v>
      </c>
    </row>
    <row r="251" spans="4:9">
      <c r="D251" s="15" t="s">
        <v>248</v>
      </c>
      <c r="E251" s="21">
        <v>0</v>
      </c>
      <c r="F251" s="15">
        <f>Tabelle1!E250-Hoja1!E251</f>
        <v>7.803707E-2</v>
      </c>
      <c r="G251" s="15">
        <f t="shared" si="3"/>
        <v>7.803707E-2</v>
      </c>
      <c r="I251" s="21">
        <v>0</v>
      </c>
    </row>
    <row r="252" spans="4:9">
      <c r="D252" s="15" t="s">
        <v>249</v>
      </c>
      <c r="E252" s="21">
        <v>0</v>
      </c>
      <c r="F252" s="15">
        <f>Tabelle1!E251-Hoja1!E252</f>
        <v>7.803707E-2</v>
      </c>
      <c r="G252" s="15">
        <f t="shared" si="3"/>
        <v>7.803707E-2</v>
      </c>
      <c r="I252" s="21">
        <v>0</v>
      </c>
    </row>
    <row r="253" spans="4:9">
      <c r="D253" s="15" t="s">
        <v>250</v>
      </c>
      <c r="E253" s="21">
        <v>0</v>
      </c>
      <c r="F253" s="15">
        <f>Tabelle1!E252-Hoja1!E253</f>
        <v>7.803707E-2</v>
      </c>
      <c r="G253" s="15">
        <f t="shared" si="3"/>
        <v>7.803707E-2</v>
      </c>
      <c r="I253" s="21">
        <v>0</v>
      </c>
    </row>
    <row r="254" spans="4:9">
      <c r="D254" s="15" t="s">
        <v>251</v>
      </c>
      <c r="E254" s="21">
        <v>0</v>
      </c>
      <c r="F254" s="15">
        <f>Tabelle1!E253-Hoja1!E254</f>
        <v>7.803707E-2</v>
      </c>
      <c r="G254" s="15">
        <f t="shared" si="3"/>
        <v>7.803707E-2</v>
      </c>
      <c r="I254" s="21">
        <v>0</v>
      </c>
    </row>
    <row r="255" spans="4:9">
      <c r="D255" s="15" t="s">
        <v>252</v>
      </c>
      <c r="E255" s="21">
        <v>0</v>
      </c>
      <c r="F255" s="15">
        <f>Tabelle1!E254-Hoja1!E255</f>
        <v>7.803707E-2</v>
      </c>
      <c r="G255" s="15">
        <f t="shared" si="3"/>
        <v>7.803707E-2</v>
      </c>
      <c r="I255" s="21">
        <v>0</v>
      </c>
    </row>
    <row r="256" spans="4:9">
      <c r="D256" s="15" t="s">
        <v>253</v>
      </c>
      <c r="E256" s="21">
        <v>0</v>
      </c>
      <c r="F256" s="15">
        <f>Tabelle1!E255-Hoja1!E256</f>
        <v>7.803707E-2</v>
      </c>
      <c r="G256" s="15">
        <f t="shared" si="3"/>
        <v>7.803707E-2</v>
      </c>
      <c r="I256" s="21">
        <v>0</v>
      </c>
    </row>
    <row r="257" spans="4:9">
      <c r="D257" s="15" t="s">
        <v>254</v>
      </c>
      <c r="E257" s="21">
        <v>5.3303871914432204</v>
      </c>
      <c r="F257" s="15">
        <f>Tabelle1!E256-Hoja1!E257</f>
        <v>-5.1629256914432204</v>
      </c>
      <c r="G257" s="15">
        <f t="shared" si="3"/>
        <v>5.1629256914432204</v>
      </c>
      <c r="I257" s="21">
        <v>0</v>
      </c>
    </row>
    <row r="258" spans="4:9">
      <c r="D258" s="15" t="s">
        <v>255</v>
      </c>
      <c r="E258" s="21">
        <v>37.096325157685101</v>
      </c>
      <c r="F258" s="15">
        <f>Tabelle1!E257-Hoja1!E258</f>
        <v>-37.454781457685101</v>
      </c>
      <c r="G258" s="15">
        <f t="shared" si="3"/>
        <v>37.454781457685101</v>
      </c>
      <c r="I258" s="21">
        <v>0</v>
      </c>
    </row>
    <row r="259" spans="4:9">
      <c r="D259" s="15" t="s">
        <v>256</v>
      </c>
      <c r="E259" s="21">
        <v>83.857842426269499</v>
      </c>
      <c r="F259" s="15">
        <f>Tabelle1!E258-Hoja1!E259</f>
        <v>-84.6136911962695</v>
      </c>
      <c r="G259" s="15">
        <f t="shared" si="3"/>
        <v>84.6136911962695</v>
      </c>
      <c r="I259" s="21">
        <v>0</v>
      </c>
    </row>
    <row r="260" spans="4:9">
      <c r="D260" s="15" t="s">
        <v>257</v>
      </c>
      <c r="E260" s="21">
        <v>113.24058220449299</v>
      </c>
      <c r="F260" s="15">
        <f>Tabelle1!E259-Hoja1!E260</f>
        <v>-113.99643097449299</v>
      </c>
      <c r="G260" s="15">
        <f t="shared" si="3"/>
        <v>113.99643097449299</v>
      </c>
      <c r="I260" s="21">
        <v>0</v>
      </c>
    </row>
    <row r="261" spans="4:9">
      <c r="D261" s="15" t="s">
        <v>258</v>
      </c>
      <c r="E261" s="21">
        <v>130.41608259699501</v>
      </c>
      <c r="F261" s="15">
        <f>Tabelle1!E260-Hoja1!E261</f>
        <v>-131.17193136699501</v>
      </c>
      <c r="G261" s="15">
        <f t="shared" si="3"/>
        <v>131.17193136699501</v>
      </c>
      <c r="I261" s="21">
        <v>0</v>
      </c>
    </row>
    <row r="262" spans="4:9">
      <c r="D262" s="15" t="s">
        <v>259</v>
      </c>
      <c r="E262" s="21">
        <v>125.48322020024</v>
      </c>
      <c r="F262" s="15">
        <f>Tabelle1!E261-Hoja1!E262</f>
        <v>-126.23906897024</v>
      </c>
      <c r="G262" s="15">
        <f t="shared" si="3"/>
        <v>126.23906897024</v>
      </c>
      <c r="I262" s="21">
        <v>0</v>
      </c>
    </row>
    <row r="263" spans="4:9">
      <c r="D263" s="15" t="s">
        <v>260</v>
      </c>
      <c r="E263" s="21">
        <v>122.555025413782</v>
      </c>
      <c r="F263" s="15">
        <f>Tabelle1!E262-Hoja1!E263</f>
        <v>-123.310874183782</v>
      </c>
      <c r="G263" s="15">
        <f t="shared" si="3"/>
        <v>123.310874183782</v>
      </c>
      <c r="I263" s="21">
        <v>0</v>
      </c>
    </row>
    <row r="264" spans="4:9">
      <c r="D264" s="15" t="s">
        <v>261</v>
      </c>
      <c r="E264" s="21">
        <v>121.060688460007</v>
      </c>
      <c r="F264" s="15">
        <f>Tabelle1!E263-Hoja1!E264</f>
        <v>-121.816537230007</v>
      </c>
      <c r="G264" s="15">
        <f t="shared" si="3"/>
        <v>121.816537230007</v>
      </c>
      <c r="I264" s="21">
        <v>0</v>
      </c>
    </row>
    <row r="265" spans="4:9">
      <c r="D265" s="15" t="s">
        <v>262</v>
      </c>
      <c r="E265" s="21">
        <v>107.76778471133601</v>
      </c>
      <c r="F265" s="15">
        <f>Tabelle1!E264-Hoja1!E265</f>
        <v>-108.52363348133601</v>
      </c>
      <c r="G265" s="15">
        <f t="shared" ref="G265:G328" si="4">ABS(F265)</f>
        <v>108.52363348133601</v>
      </c>
      <c r="I265" s="21">
        <v>0</v>
      </c>
    </row>
    <row r="266" spans="4:9">
      <c r="D266" s="15" t="s">
        <v>263</v>
      </c>
      <c r="E266" s="21">
        <v>80.468867672064306</v>
      </c>
      <c r="F266" s="15">
        <f>Tabelle1!E265-Hoja1!E266</f>
        <v>-81.134289372064302</v>
      </c>
      <c r="G266" s="15">
        <f t="shared" si="4"/>
        <v>81.134289372064302</v>
      </c>
      <c r="I266" s="21">
        <v>0</v>
      </c>
    </row>
    <row r="267" spans="4:9">
      <c r="D267" s="15" t="s">
        <v>264</v>
      </c>
      <c r="E267" s="21">
        <v>36.465963542743999</v>
      </c>
      <c r="F267" s="15">
        <f>Tabelle1!E266-Hoja1!E267</f>
        <v>-36.728899212743997</v>
      </c>
      <c r="G267" s="15">
        <f t="shared" si="4"/>
        <v>36.728899212743997</v>
      </c>
      <c r="I267" s="21">
        <v>0</v>
      </c>
    </row>
    <row r="268" spans="4:9">
      <c r="D268" s="15" t="s">
        <v>265</v>
      </c>
      <c r="E268" s="21">
        <v>15.1218429812746</v>
      </c>
      <c r="F268" s="15">
        <f>Tabelle1!E267-Hoja1!E268</f>
        <v>-15.1476121502746</v>
      </c>
      <c r="G268" s="15">
        <f t="shared" si="4"/>
        <v>15.1476121502746</v>
      </c>
      <c r="I268" s="21">
        <v>0</v>
      </c>
    </row>
    <row r="269" spans="4:9">
      <c r="D269" s="15" t="s">
        <v>266</v>
      </c>
      <c r="E269" s="21">
        <v>0</v>
      </c>
      <c r="F269" s="15">
        <f>Tabelle1!E268-Hoja1!E269</f>
        <v>0.14056750000000001</v>
      </c>
      <c r="G269" s="15">
        <f t="shared" si="4"/>
        <v>0.14056750000000001</v>
      </c>
      <c r="I269" s="21">
        <v>0</v>
      </c>
    </row>
    <row r="270" spans="4:9">
      <c r="D270" s="15" t="s">
        <v>267</v>
      </c>
      <c r="E270" s="21">
        <v>0</v>
      </c>
      <c r="F270" s="15">
        <f>Tabelle1!E269-Hoja1!E270</f>
        <v>0.14902496000000001</v>
      </c>
      <c r="G270" s="15">
        <f t="shared" si="4"/>
        <v>0.14902496000000001</v>
      </c>
      <c r="I270" s="21">
        <v>0</v>
      </c>
    </row>
    <row r="271" spans="4:9">
      <c r="D271" s="15" t="s">
        <v>268</v>
      </c>
      <c r="E271" s="21">
        <v>0</v>
      </c>
      <c r="F271" s="15">
        <f>Tabelle1!E270-Hoja1!E271</f>
        <v>0.14902496000000001</v>
      </c>
      <c r="G271" s="15">
        <f t="shared" si="4"/>
        <v>0.14902496000000001</v>
      </c>
      <c r="I271" s="21">
        <v>0</v>
      </c>
    </row>
    <row r="272" spans="4:9">
      <c r="D272" s="15" t="s">
        <v>269</v>
      </c>
      <c r="E272" s="21">
        <v>0</v>
      </c>
      <c r="F272" s="15">
        <f>Tabelle1!E271-Hoja1!E272</f>
        <v>7.803707E-2</v>
      </c>
      <c r="G272" s="15">
        <f t="shared" si="4"/>
        <v>7.803707E-2</v>
      </c>
      <c r="I272" s="21">
        <v>0</v>
      </c>
    </row>
    <row r="273" spans="4:9">
      <c r="D273" s="15" t="s">
        <v>270</v>
      </c>
      <c r="E273" s="21">
        <v>0</v>
      </c>
      <c r="F273" s="15">
        <f>Tabelle1!E272-Hoja1!E273</f>
        <v>7.803707E-2</v>
      </c>
      <c r="G273" s="15">
        <f t="shared" si="4"/>
        <v>7.803707E-2</v>
      </c>
      <c r="I273" s="21">
        <v>0</v>
      </c>
    </row>
    <row r="274" spans="4:9">
      <c r="D274" s="15" t="s">
        <v>271</v>
      </c>
      <c r="E274" s="21">
        <v>0</v>
      </c>
      <c r="F274" s="15">
        <f>Tabelle1!E273-Hoja1!E274</f>
        <v>7.803707E-2</v>
      </c>
      <c r="G274" s="15">
        <f t="shared" si="4"/>
        <v>7.803707E-2</v>
      </c>
      <c r="I274" s="21">
        <v>0</v>
      </c>
    </row>
    <row r="275" spans="4:9">
      <c r="D275" s="15" t="s">
        <v>272</v>
      </c>
      <c r="E275" s="21">
        <v>0</v>
      </c>
      <c r="F275" s="15">
        <f>Tabelle1!E274-Hoja1!E275</f>
        <v>7.803707E-2</v>
      </c>
      <c r="G275" s="15">
        <f t="shared" si="4"/>
        <v>7.803707E-2</v>
      </c>
      <c r="I275" s="21">
        <v>0</v>
      </c>
    </row>
    <row r="276" spans="4:9">
      <c r="D276" s="15" t="s">
        <v>273</v>
      </c>
      <c r="E276" s="21">
        <v>0</v>
      </c>
      <c r="F276" s="15">
        <f>Tabelle1!E275-Hoja1!E276</f>
        <v>7.803707E-2</v>
      </c>
      <c r="G276" s="15">
        <f t="shared" si="4"/>
        <v>7.803707E-2</v>
      </c>
      <c r="I276" s="21">
        <v>0</v>
      </c>
    </row>
    <row r="277" spans="4:9">
      <c r="D277" s="15" t="s">
        <v>274</v>
      </c>
      <c r="E277" s="21">
        <v>0</v>
      </c>
      <c r="F277" s="15">
        <f>Tabelle1!E276-Hoja1!E277</f>
        <v>7.803707E-2</v>
      </c>
      <c r="G277" s="15">
        <f t="shared" si="4"/>
        <v>7.803707E-2</v>
      </c>
      <c r="I277" s="21">
        <v>0</v>
      </c>
    </row>
    <row r="278" spans="4:9">
      <c r="D278" s="15" t="s">
        <v>275</v>
      </c>
      <c r="E278" s="21">
        <v>0</v>
      </c>
      <c r="F278" s="15">
        <f>Tabelle1!E277-Hoja1!E278</f>
        <v>7.803707E-2</v>
      </c>
      <c r="G278" s="15">
        <f t="shared" si="4"/>
        <v>7.803707E-2</v>
      </c>
      <c r="I278" s="21">
        <v>0</v>
      </c>
    </row>
    <row r="279" spans="4:9">
      <c r="D279" s="15" t="s">
        <v>276</v>
      </c>
      <c r="E279" s="21">
        <v>0</v>
      </c>
      <c r="F279" s="15">
        <f>Tabelle1!E278-Hoja1!E279</f>
        <v>7.803707E-2</v>
      </c>
      <c r="G279" s="15">
        <f t="shared" si="4"/>
        <v>7.803707E-2</v>
      </c>
      <c r="I279" s="21">
        <v>0</v>
      </c>
    </row>
    <row r="280" spans="4:9">
      <c r="D280" s="15" t="s">
        <v>277</v>
      </c>
      <c r="E280" s="21">
        <v>0</v>
      </c>
      <c r="F280" s="15">
        <f>Tabelle1!E279-Hoja1!E280</f>
        <v>7.803707E-2</v>
      </c>
      <c r="G280" s="15">
        <f t="shared" si="4"/>
        <v>7.803707E-2</v>
      </c>
      <c r="I280" s="21">
        <v>7.0000000006984905E-2</v>
      </c>
    </row>
    <row r="281" spans="4:9">
      <c r="D281" s="15" t="s">
        <v>278</v>
      </c>
      <c r="E281" s="21">
        <v>4.9159235086321198</v>
      </c>
      <c r="F281" s="15">
        <f>Tabelle1!E280-Hoja1!E281</f>
        <v>-4.7484620086321199</v>
      </c>
      <c r="G281" s="15">
        <f t="shared" si="4"/>
        <v>4.7484620086321199</v>
      </c>
      <c r="I281" s="21">
        <v>6.97000000003026</v>
      </c>
    </row>
    <row r="282" spans="4:9">
      <c r="D282" s="15" t="s">
        <v>279</v>
      </c>
      <c r="E282" s="21">
        <v>29.101160613656699</v>
      </c>
      <c r="F282" s="15">
        <f>Tabelle1!E281-Hoja1!E282</f>
        <v>-29.459616913656699</v>
      </c>
      <c r="G282" s="15">
        <f t="shared" si="4"/>
        <v>29.459616913656699</v>
      </c>
      <c r="I282" s="21">
        <v>37.5700000000069</v>
      </c>
    </row>
    <row r="283" spans="4:9">
      <c r="D283" s="15" t="s">
        <v>280</v>
      </c>
      <c r="E283" s="21">
        <v>80.986654317851006</v>
      </c>
      <c r="F283" s="15">
        <f>Tabelle1!E282-Hoja1!E283</f>
        <v>-81.742503087851006</v>
      </c>
      <c r="G283" s="15">
        <f t="shared" si="4"/>
        <v>81.742503087851006</v>
      </c>
      <c r="I283" s="21">
        <v>78.959999999962704</v>
      </c>
    </row>
    <row r="284" spans="4:9">
      <c r="D284" s="15" t="s">
        <v>281</v>
      </c>
      <c r="E284" s="21">
        <v>105.212325526472</v>
      </c>
      <c r="F284" s="15">
        <f>Tabelle1!E283-Hoja1!E284</f>
        <v>-105.968174296472</v>
      </c>
      <c r="G284" s="15">
        <f t="shared" si="4"/>
        <v>105.968174296472</v>
      </c>
      <c r="I284" s="21">
        <v>108.429999999993</v>
      </c>
    </row>
    <row r="285" spans="4:9">
      <c r="D285" s="15" t="s">
        <v>282</v>
      </c>
      <c r="E285" s="21">
        <v>124.07865810350999</v>
      </c>
      <c r="F285" s="15">
        <f>Tabelle1!E284-Hoja1!E285</f>
        <v>-124.83450687350999</v>
      </c>
      <c r="G285" s="15">
        <f t="shared" si="4"/>
        <v>124.83450687350999</v>
      </c>
      <c r="I285" s="21">
        <v>129.10000000003399</v>
      </c>
    </row>
    <row r="286" spans="4:9">
      <c r="D286" s="15" t="s">
        <v>283</v>
      </c>
      <c r="E286" s="21">
        <v>129.641121188787</v>
      </c>
      <c r="F286" s="15">
        <f>Tabelle1!E285-Hoja1!E286</f>
        <v>-130.396969958787</v>
      </c>
      <c r="G286" s="15">
        <f t="shared" si="4"/>
        <v>130.396969958787</v>
      </c>
      <c r="I286" s="21">
        <v>139.20000000001099</v>
      </c>
    </row>
    <row r="287" spans="4:9">
      <c r="D287" s="15" t="s">
        <v>284</v>
      </c>
      <c r="E287" s="21">
        <v>128.695183175528</v>
      </c>
      <c r="F287" s="15">
        <f>Tabelle1!E286-Hoja1!E287</f>
        <v>-129.451031945528</v>
      </c>
      <c r="G287" s="15">
        <f t="shared" si="4"/>
        <v>129.451031945528</v>
      </c>
      <c r="I287" s="21">
        <v>138.80999999999699</v>
      </c>
    </row>
    <row r="288" spans="4:9">
      <c r="D288" s="15" t="s">
        <v>285</v>
      </c>
      <c r="E288" s="21">
        <v>121.61408280625901</v>
      </c>
      <c r="F288" s="15">
        <f>Tabelle1!E287-Hoja1!E288</f>
        <v>-122.36993157625901</v>
      </c>
      <c r="G288" s="15">
        <f t="shared" si="4"/>
        <v>122.36993157625901</v>
      </c>
      <c r="I288" s="21">
        <v>129.15999999997399</v>
      </c>
    </row>
    <row r="289" spans="4:9">
      <c r="D289" s="15" t="s">
        <v>286</v>
      </c>
      <c r="E289" s="21">
        <v>107.19480893762901</v>
      </c>
      <c r="F289" s="15">
        <f>Tabelle1!E288-Hoja1!E289</f>
        <v>-107.95065770762901</v>
      </c>
      <c r="G289" s="15">
        <f t="shared" si="4"/>
        <v>107.95065770762901</v>
      </c>
      <c r="I289" s="21">
        <v>113.059999999997</v>
      </c>
    </row>
    <row r="290" spans="4:9">
      <c r="D290" s="15" t="s">
        <v>287</v>
      </c>
      <c r="E290" s="21">
        <v>77.035846792242907</v>
      </c>
      <c r="F290" s="15">
        <f>Tabelle1!E289-Hoja1!E290</f>
        <v>-77.701268492242903</v>
      </c>
      <c r="G290" s="15">
        <f t="shared" si="4"/>
        <v>77.701268492242903</v>
      </c>
      <c r="I290" s="21">
        <v>96.599999999976703</v>
      </c>
    </row>
    <row r="291" spans="4:9">
      <c r="D291" s="15" t="s">
        <v>288</v>
      </c>
      <c r="E291" s="21">
        <v>36.436745163571203</v>
      </c>
      <c r="F291" s="15">
        <f>Tabelle1!E290-Hoja1!E291</f>
        <v>-36.6996808335712</v>
      </c>
      <c r="G291" s="15">
        <f t="shared" si="4"/>
        <v>36.6996808335712</v>
      </c>
      <c r="I291" s="21">
        <v>55.350000000034903</v>
      </c>
    </row>
    <row r="292" spans="4:9">
      <c r="D292" s="15" t="s">
        <v>289</v>
      </c>
      <c r="E292" s="21">
        <v>13.9863860214924</v>
      </c>
      <c r="F292" s="15">
        <f>Tabelle1!E291-Hoja1!E292</f>
        <v>-14.0121551904924</v>
      </c>
      <c r="G292" s="15">
        <f t="shared" si="4"/>
        <v>14.0121551904924</v>
      </c>
      <c r="I292" s="21">
        <v>14.1300000000046</v>
      </c>
    </row>
    <row r="293" spans="4:9">
      <c r="D293" s="15" t="s">
        <v>290</v>
      </c>
      <c r="E293" s="21">
        <v>0</v>
      </c>
      <c r="F293" s="15">
        <f>Tabelle1!E292-Hoja1!E293</f>
        <v>0.14056750000000001</v>
      </c>
      <c r="G293" s="15">
        <f t="shared" si="4"/>
        <v>0.14056750000000001</v>
      </c>
      <c r="I293" s="21">
        <v>0.69000000000232797</v>
      </c>
    </row>
    <row r="294" spans="4:9">
      <c r="D294" s="15" t="s">
        <v>291</v>
      </c>
      <c r="E294" s="21">
        <v>0</v>
      </c>
      <c r="F294" s="15">
        <f>Tabelle1!E293-Hoja1!E294</f>
        <v>0.14902496000000001</v>
      </c>
      <c r="G294" s="15">
        <f t="shared" si="4"/>
        <v>0.14902496000000001</v>
      </c>
      <c r="I294" s="21">
        <v>0</v>
      </c>
    </row>
    <row r="295" spans="4:9">
      <c r="D295" s="15" t="s">
        <v>292</v>
      </c>
      <c r="E295" s="21">
        <v>0</v>
      </c>
      <c r="F295" s="15">
        <f>Tabelle1!E294-Hoja1!E295</f>
        <v>0.14902496000000001</v>
      </c>
      <c r="G295" s="15">
        <f t="shared" si="4"/>
        <v>0.14902496000000001</v>
      </c>
      <c r="I295" s="21">
        <v>0</v>
      </c>
    </row>
    <row r="296" spans="4:9">
      <c r="D296" s="15" t="s">
        <v>293</v>
      </c>
      <c r="E296" s="21">
        <v>0</v>
      </c>
      <c r="F296" s="15">
        <f>Tabelle1!E295-Hoja1!E296</f>
        <v>8.427962E-2</v>
      </c>
      <c r="G296" s="15">
        <f t="shared" si="4"/>
        <v>8.427962E-2</v>
      </c>
      <c r="I296" s="21">
        <v>0</v>
      </c>
    </row>
    <row r="297" spans="4:9">
      <c r="D297" s="15" t="s">
        <v>294</v>
      </c>
      <c r="E297" s="21">
        <v>0</v>
      </c>
      <c r="F297" s="15">
        <f>Tabelle1!E296-Hoja1!E297</f>
        <v>8.427962E-2</v>
      </c>
      <c r="G297" s="15">
        <f t="shared" si="4"/>
        <v>8.427962E-2</v>
      </c>
      <c r="I297" s="21">
        <v>0</v>
      </c>
    </row>
    <row r="298" spans="4:9">
      <c r="D298" s="15" t="s">
        <v>295</v>
      </c>
      <c r="E298" s="21">
        <v>0</v>
      </c>
      <c r="F298" s="15">
        <f>Tabelle1!E297-Hoja1!E298</f>
        <v>8.427962E-2</v>
      </c>
      <c r="G298" s="15">
        <f t="shared" si="4"/>
        <v>8.427962E-2</v>
      </c>
      <c r="I298" s="21">
        <v>0</v>
      </c>
    </row>
    <row r="299" spans="4:9">
      <c r="D299" s="15" t="s">
        <v>296</v>
      </c>
      <c r="E299" s="21">
        <v>0</v>
      </c>
      <c r="F299" s="15">
        <f>Tabelle1!E298-Hoja1!E299</f>
        <v>8.427962E-2</v>
      </c>
      <c r="G299" s="15">
        <f t="shared" si="4"/>
        <v>8.427962E-2</v>
      </c>
      <c r="I299" s="21">
        <v>0</v>
      </c>
    </row>
    <row r="300" spans="4:9">
      <c r="D300" s="15" t="s">
        <v>297</v>
      </c>
      <c r="E300" s="21">
        <v>0</v>
      </c>
      <c r="F300" s="15">
        <f>Tabelle1!E299-Hoja1!E300</f>
        <v>8.427962E-2</v>
      </c>
      <c r="G300" s="15">
        <f t="shared" si="4"/>
        <v>8.427962E-2</v>
      </c>
      <c r="I300" s="21">
        <v>0</v>
      </c>
    </row>
    <row r="301" spans="4:9">
      <c r="D301" s="15" t="s">
        <v>298</v>
      </c>
      <c r="E301" s="21">
        <v>0</v>
      </c>
      <c r="F301" s="15">
        <f>Tabelle1!E300-Hoja1!E301</f>
        <v>8.427962E-2</v>
      </c>
      <c r="G301" s="15">
        <f t="shared" si="4"/>
        <v>8.427962E-2</v>
      </c>
      <c r="I301" s="21">
        <v>0</v>
      </c>
    </row>
    <row r="302" spans="4:9">
      <c r="D302" s="15" t="s">
        <v>299</v>
      </c>
      <c r="E302" s="21">
        <v>0</v>
      </c>
      <c r="F302" s="15">
        <f>Tabelle1!E301-Hoja1!E302</f>
        <v>8.427962E-2</v>
      </c>
      <c r="G302" s="15">
        <f t="shared" si="4"/>
        <v>8.427962E-2</v>
      </c>
      <c r="I302" s="21">
        <v>0</v>
      </c>
    </row>
    <row r="303" spans="4:9">
      <c r="D303" s="15" t="s">
        <v>300</v>
      </c>
      <c r="E303" s="21">
        <v>0</v>
      </c>
      <c r="F303" s="15">
        <f>Tabelle1!E302-Hoja1!E303</f>
        <v>8.427962E-2</v>
      </c>
      <c r="G303" s="15">
        <f t="shared" si="4"/>
        <v>8.427962E-2</v>
      </c>
      <c r="I303" s="21">
        <v>0</v>
      </c>
    </row>
    <row r="304" spans="4:9">
      <c r="D304" s="15" t="s">
        <v>301</v>
      </c>
      <c r="E304" s="21">
        <v>0</v>
      </c>
      <c r="F304" s="15">
        <f>Tabelle1!E303-Hoja1!E304</f>
        <v>8.427962E-2</v>
      </c>
      <c r="G304" s="15">
        <f t="shared" si="4"/>
        <v>8.427962E-2</v>
      </c>
      <c r="I304" s="21">
        <v>0.10999999998602999</v>
      </c>
    </row>
    <row r="305" spans="4:9">
      <c r="D305" s="15" t="s">
        <v>302</v>
      </c>
      <c r="E305" s="21">
        <v>5.3303871914432204</v>
      </c>
      <c r="F305" s="15">
        <f>Tabelle1!E304-Hoja1!E305</f>
        <v>-5.15668313144322</v>
      </c>
      <c r="G305" s="15">
        <f t="shared" si="4"/>
        <v>5.15668313144322</v>
      </c>
      <c r="I305" s="21">
        <v>5.6300000000046504</v>
      </c>
    </row>
    <row r="306" spans="4:9">
      <c r="D306" s="15" t="s">
        <v>303</v>
      </c>
      <c r="E306" s="21">
        <v>36.388647113107098</v>
      </c>
      <c r="F306" s="15">
        <f>Tabelle1!E305-Hoja1!E306</f>
        <v>-36.6892194531071</v>
      </c>
      <c r="G306" s="15">
        <f t="shared" si="4"/>
        <v>36.6892194531071</v>
      </c>
      <c r="I306" s="21">
        <v>39.75</v>
      </c>
    </row>
    <row r="307" spans="4:9">
      <c r="D307" s="15" t="s">
        <v>304</v>
      </c>
      <c r="E307" s="21">
        <v>85.9431568101175</v>
      </c>
      <c r="F307" s="15">
        <f>Tabelle1!E306-Hoja1!E307</f>
        <v>-86.628332010117504</v>
      </c>
      <c r="G307" s="15">
        <f t="shared" si="4"/>
        <v>86.628332010117504</v>
      </c>
      <c r="I307" s="21">
        <v>87.75</v>
      </c>
    </row>
    <row r="308" spans="4:9">
      <c r="D308" s="15" t="s">
        <v>305</v>
      </c>
      <c r="E308" s="21">
        <v>115.93357589966701</v>
      </c>
      <c r="F308" s="15">
        <f>Tabelle1!E307-Hoja1!E308</f>
        <v>-116.61875109966701</v>
      </c>
      <c r="G308" s="15">
        <f t="shared" si="4"/>
        <v>116.61875109966701</v>
      </c>
      <c r="I308" s="21">
        <v>126.08999999996701</v>
      </c>
    </row>
    <row r="309" spans="4:9">
      <c r="D309" s="15" t="s">
        <v>306</v>
      </c>
      <c r="E309" s="21">
        <v>135.264077648247</v>
      </c>
      <c r="F309" s="15">
        <f>Tabelle1!E308-Hoja1!E309</f>
        <v>-135.949252848247</v>
      </c>
      <c r="G309" s="15">
        <f t="shared" si="4"/>
        <v>135.949252848247</v>
      </c>
      <c r="I309" s="21">
        <v>144.390000000013</v>
      </c>
    </row>
    <row r="310" spans="4:9">
      <c r="D310" s="15" t="s">
        <v>307</v>
      </c>
      <c r="E310" s="21">
        <v>136.76200271918</v>
      </c>
      <c r="F310" s="15">
        <f>Tabelle1!E309-Hoja1!E310</f>
        <v>-137.44717791918001</v>
      </c>
      <c r="G310" s="15">
        <f t="shared" si="4"/>
        <v>137.44717791918001</v>
      </c>
      <c r="I310" s="21">
        <v>141.510000000009</v>
      </c>
    </row>
    <row r="311" spans="4:9">
      <c r="D311" s="15" t="s">
        <v>308</v>
      </c>
      <c r="E311" s="21">
        <v>131.833037904202</v>
      </c>
      <c r="F311" s="15">
        <f>Tabelle1!E310-Hoja1!E311</f>
        <v>-132.518213104202</v>
      </c>
      <c r="G311" s="15">
        <f t="shared" si="4"/>
        <v>132.518213104202</v>
      </c>
      <c r="I311" s="21">
        <v>148.109999999986</v>
      </c>
    </row>
    <row r="312" spans="4:9">
      <c r="D312" s="15" t="s">
        <v>309</v>
      </c>
      <c r="E312" s="21">
        <v>127.47444396274901</v>
      </c>
      <c r="F312" s="15">
        <f>Tabelle1!E311-Hoja1!E312</f>
        <v>-128.15961916274901</v>
      </c>
      <c r="G312" s="15">
        <f t="shared" si="4"/>
        <v>128.15961916274901</v>
      </c>
      <c r="I312" s="21">
        <v>141.09000000002499</v>
      </c>
    </row>
    <row r="313" spans="4:9">
      <c r="D313" s="15" t="s">
        <v>310</v>
      </c>
      <c r="E313" s="21">
        <v>114.362662459154</v>
      </c>
      <c r="F313" s="15">
        <f>Tabelle1!E312-Hoja1!E313</f>
        <v>-115.047837659154</v>
      </c>
      <c r="G313" s="15">
        <f t="shared" si="4"/>
        <v>115.047837659154</v>
      </c>
      <c r="I313" s="21">
        <v>127.83999999996701</v>
      </c>
    </row>
    <row r="314" spans="4:9">
      <c r="D314" s="15" t="s">
        <v>311</v>
      </c>
      <c r="E314" s="21">
        <v>82.326791462727499</v>
      </c>
      <c r="F314" s="15">
        <f>Tabelle1!E313-Hoja1!E314</f>
        <v>-82.921539362727501</v>
      </c>
      <c r="G314" s="15">
        <f t="shared" si="4"/>
        <v>82.921539362727501</v>
      </c>
      <c r="I314" s="21">
        <v>96.410000000032596</v>
      </c>
    </row>
    <row r="315" spans="4:9">
      <c r="D315" s="15" t="s">
        <v>312</v>
      </c>
      <c r="E315" s="21">
        <v>48.734788746795601</v>
      </c>
      <c r="F315" s="15">
        <f>Tabelle1!E314-Hoja1!E315</f>
        <v>-48.927050786795604</v>
      </c>
      <c r="G315" s="15">
        <f t="shared" si="4"/>
        <v>48.927050786795604</v>
      </c>
      <c r="I315" s="21">
        <v>50.950000000011599</v>
      </c>
    </row>
    <row r="316" spans="4:9">
      <c r="D316" s="15" t="s">
        <v>313</v>
      </c>
      <c r="E316" s="21">
        <v>15.6758127679291</v>
      </c>
      <c r="F316" s="15">
        <f>Tabelle1!E315-Hoja1!E316</f>
        <v>-15.630908352929101</v>
      </c>
      <c r="G316" s="15">
        <f t="shared" si="4"/>
        <v>15.630908352929101</v>
      </c>
      <c r="I316" s="21">
        <v>14.979999999981301</v>
      </c>
    </row>
    <row r="317" spans="4:9">
      <c r="D317" s="15" t="s">
        <v>314</v>
      </c>
      <c r="E317" s="21">
        <v>0</v>
      </c>
      <c r="F317" s="15">
        <f>Tabelle1!E316-Hoja1!E317</f>
        <v>0.15959973999999999</v>
      </c>
      <c r="G317" s="15">
        <f t="shared" si="4"/>
        <v>0.15959973999999999</v>
      </c>
      <c r="I317" s="21">
        <v>0.63000000000465595</v>
      </c>
    </row>
    <row r="318" spans="4:9">
      <c r="D318" s="15" t="s">
        <v>315</v>
      </c>
      <c r="E318" s="21">
        <v>0</v>
      </c>
      <c r="F318" s="15">
        <f>Tabelle1!E317-Hoja1!E318</f>
        <v>0.16805719999999999</v>
      </c>
      <c r="G318" s="15">
        <f t="shared" si="4"/>
        <v>0.16805719999999999</v>
      </c>
      <c r="I318" s="21">
        <v>0</v>
      </c>
    </row>
    <row r="319" spans="4:9">
      <c r="D319" s="15" t="s">
        <v>316</v>
      </c>
      <c r="E319" s="21">
        <v>0</v>
      </c>
      <c r="F319" s="15">
        <f>Tabelle1!E318-Hoja1!E319</f>
        <v>0.16805719999999999</v>
      </c>
      <c r="G319" s="15">
        <f t="shared" si="4"/>
        <v>0.16805719999999999</v>
      </c>
      <c r="I319" s="21">
        <v>0</v>
      </c>
    </row>
    <row r="320" spans="4:9">
      <c r="D320" s="15" t="s">
        <v>317</v>
      </c>
      <c r="E320" s="21">
        <v>0</v>
      </c>
      <c r="F320" s="15">
        <f>Tabelle1!E319-Hoja1!E320</f>
        <v>8.4404519999999997E-2</v>
      </c>
      <c r="G320" s="15">
        <f t="shared" si="4"/>
        <v>8.4404519999999997E-2</v>
      </c>
      <c r="I320" s="21">
        <v>0</v>
      </c>
    </row>
    <row r="321" spans="4:9">
      <c r="D321" s="15" t="s">
        <v>318</v>
      </c>
      <c r="E321" s="21">
        <v>0</v>
      </c>
      <c r="F321" s="15">
        <f>Tabelle1!E320-Hoja1!E321</f>
        <v>8.4404519999999997E-2</v>
      </c>
      <c r="G321" s="15">
        <f t="shared" si="4"/>
        <v>8.4404519999999997E-2</v>
      </c>
      <c r="I321" s="21">
        <v>0</v>
      </c>
    </row>
    <row r="322" spans="4:9">
      <c r="D322" s="15" t="s">
        <v>319</v>
      </c>
      <c r="E322" s="21">
        <v>0</v>
      </c>
      <c r="F322" s="15">
        <f>Tabelle1!E321-Hoja1!E322</f>
        <v>8.4404519999999997E-2</v>
      </c>
      <c r="G322" s="15">
        <f t="shared" si="4"/>
        <v>8.4404519999999997E-2</v>
      </c>
      <c r="I322" s="21">
        <v>0</v>
      </c>
    </row>
    <row r="323" spans="4:9">
      <c r="D323" s="15" t="s">
        <v>320</v>
      </c>
      <c r="E323" s="21">
        <v>0</v>
      </c>
      <c r="F323" s="15">
        <f>Tabelle1!E322-Hoja1!E323</f>
        <v>8.4404519999999997E-2</v>
      </c>
      <c r="G323" s="15">
        <f t="shared" si="4"/>
        <v>8.4404519999999997E-2</v>
      </c>
      <c r="I323" s="21">
        <v>0</v>
      </c>
    </row>
    <row r="324" spans="4:9">
      <c r="D324" s="15" t="s">
        <v>321</v>
      </c>
      <c r="E324" s="21">
        <v>0</v>
      </c>
      <c r="F324" s="15">
        <f>Tabelle1!E323-Hoja1!E324</f>
        <v>8.4404519999999997E-2</v>
      </c>
      <c r="G324" s="15">
        <f t="shared" si="4"/>
        <v>8.4404519999999997E-2</v>
      </c>
      <c r="I324" s="21">
        <v>0</v>
      </c>
    </row>
    <row r="325" spans="4:9">
      <c r="D325" s="15" t="s">
        <v>322</v>
      </c>
      <c r="E325" s="21">
        <v>0</v>
      </c>
      <c r="F325" s="15">
        <f>Tabelle1!E324-Hoja1!E325</f>
        <v>8.4404519999999997E-2</v>
      </c>
      <c r="G325" s="15">
        <f t="shared" si="4"/>
        <v>8.4404519999999997E-2</v>
      </c>
      <c r="I325" s="21">
        <v>0</v>
      </c>
    </row>
    <row r="326" spans="4:9">
      <c r="D326" s="15" t="s">
        <v>323</v>
      </c>
      <c r="E326" s="21">
        <v>0</v>
      </c>
      <c r="F326" s="15">
        <f>Tabelle1!E325-Hoja1!E326</f>
        <v>8.4404519999999997E-2</v>
      </c>
      <c r="G326" s="15">
        <f t="shared" si="4"/>
        <v>8.4404519999999997E-2</v>
      </c>
      <c r="I326" s="21">
        <v>0</v>
      </c>
    </row>
    <row r="327" spans="4:9">
      <c r="D327" s="15" t="s">
        <v>324</v>
      </c>
      <c r="E327" s="21">
        <v>0</v>
      </c>
      <c r="F327" s="15">
        <f>Tabelle1!E326-Hoja1!E327</f>
        <v>8.4404519999999997E-2</v>
      </c>
      <c r="G327" s="15">
        <f t="shared" si="4"/>
        <v>8.4404519999999997E-2</v>
      </c>
      <c r="I327" s="21">
        <v>0</v>
      </c>
    </row>
    <row r="328" spans="4:9">
      <c r="D328" s="15" t="s">
        <v>325</v>
      </c>
      <c r="E328" s="21">
        <v>0</v>
      </c>
      <c r="F328" s="15">
        <f>Tabelle1!E327-Hoja1!E328</f>
        <v>8.4404519999999997E-2</v>
      </c>
      <c r="G328" s="15">
        <f t="shared" si="4"/>
        <v>8.4404519999999997E-2</v>
      </c>
      <c r="I328" s="21">
        <v>0.15999999997438799</v>
      </c>
    </row>
    <row r="329" spans="4:9">
      <c r="D329" s="15" t="s">
        <v>326</v>
      </c>
      <c r="E329" s="21">
        <v>5.1901119375531604</v>
      </c>
      <c r="F329" s="15">
        <f>Tabelle1!E328-Hoja1!E329</f>
        <v>-5.0162829775531605</v>
      </c>
      <c r="G329" s="15">
        <f t="shared" ref="G329:G392" si="5">ABS(F329)</f>
        <v>5.0162829775531605</v>
      </c>
      <c r="I329" s="21">
        <v>5.8699999999953398</v>
      </c>
    </row>
    <row r="330" spans="4:9">
      <c r="D330" s="15" t="s">
        <v>327</v>
      </c>
      <c r="E330" s="21">
        <v>25.350054079731301</v>
      </c>
      <c r="F330" s="15">
        <f>Tabelle1!E329-Hoja1!E330</f>
        <v>-25.562601369731301</v>
      </c>
      <c r="G330" s="15">
        <f t="shared" si="5"/>
        <v>25.562601369731301</v>
      </c>
      <c r="I330" s="21">
        <v>19.25</v>
      </c>
    </row>
    <row r="331" spans="4:9">
      <c r="D331" s="15" t="s">
        <v>328</v>
      </c>
      <c r="E331" s="21">
        <v>82.2927689019116</v>
      </c>
      <c r="F331" s="15">
        <f>Tabelle1!E330-Hoja1!E331</f>
        <v>-82.405302561911597</v>
      </c>
      <c r="G331" s="15">
        <f t="shared" si="5"/>
        <v>82.405302561911597</v>
      </c>
      <c r="I331" s="21">
        <v>12.1500000000232</v>
      </c>
    </row>
    <row r="332" spans="4:9">
      <c r="D332" s="15" t="s">
        <v>329</v>
      </c>
      <c r="E332" s="21">
        <v>108.680328866895</v>
      </c>
      <c r="F332" s="15">
        <f>Tabelle1!E331-Hoja1!E332</f>
        <v>-108.79286252689499</v>
      </c>
      <c r="G332" s="15">
        <f t="shared" si="5"/>
        <v>108.79286252689499</v>
      </c>
      <c r="I332" s="21">
        <v>92.159999999974303</v>
      </c>
    </row>
    <row r="333" spans="4:9">
      <c r="D333" s="15" t="s">
        <v>330</v>
      </c>
      <c r="E333" s="21">
        <v>125.59233059863701</v>
      </c>
      <c r="F333" s="15">
        <f>Tabelle1!E332-Hoja1!E333</f>
        <v>-125.704864258637</v>
      </c>
      <c r="G333" s="15">
        <f t="shared" si="5"/>
        <v>125.704864258637</v>
      </c>
      <c r="I333" s="21">
        <v>122.860000000044</v>
      </c>
    </row>
    <row r="334" spans="4:9">
      <c r="D334" s="15" t="s">
        <v>331</v>
      </c>
      <c r="E334" s="21">
        <v>124.85209713371501</v>
      </c>
      <c r="F334" s="15">
        <f>Tabelle1!E333-Hoja1!E334</f>
        <v>-124.964630793715</v>
      </c>
      <c r="G334" s="15">
        <f t="shared" si="5"/>
        <v>124.964630793715</v>
      </c>
      <c r="I334" s="21">
        <v>124.58999999996701</v>
      </c>
    </row>
    <row r="335" spans="4:9">
      <c r="D335" s="15" t="s">
        <v>332</v>
      </c>
      <c r="E335" s="21">
        <v>124.77290035003099</v>
      </c>
      <c r="F335" s="15">
        <f>Tabelle1!E334-Hoja1!E335</f>
        <v>-124.88543401003099</v>
      </c>
      <c r="G335" s="15">
        <f t="shared" si="5"/>
        <v>124.88543401003099</v>
      </c>
      <c r="I335" s="21">
        <v>121.420000000041</v>
      </c>
    </row>
    <row r="336" spans="4:9">
      <c r="D336" s="15" t="s">
        <v>333</v>
      </c>
      <c r="E336" s="21">
        <v>119.171770642102</v>
      </c>
      <c r="F336" s="15">
        <f>Tabelle1!E335-Hoja1!E336</f>
        <v>-119.284304302102</v>
      </c>
      <c r="G336" s="15">
        <f t="shared" si="5"/>
        <v>119.284304302102</v>
      </c>
      <c r="I336" s="21">
        <v>116.27999999996899</v>
      </c>
    </row>
    <row r="337" spans="4:9">
      <c r="D337" s="15" t="s">
        <v>334</v>
      </c>
      <c r="E337" s="21">
        <v>103.468088662272</v>
      </c>
      <c r="F337" s="15">
        <f>Tabelle1!E336-Hoja1!E337</f>
        <v>-103.58062232227199</v>
      </c>
      <c r="G337" s="15">
        <f t="shared" si="5"/>
        <v>103.58062232227199</v>
      </c>
      <c r="I337" s="21">
        <v>108.609999999986</v>
      </c>
    </row>
    <row r="338" spans="4:9">
      <c r="D338" s="15" t="s">
        <v>335</v>
      </c>
      <c r="E338" s="21">
        <v>74.904875588190905</v>
      </c>
      <c r="F338" s="15">
        <f>Tabelle1!E337-Hoja1!E338</f>
        <v>-74.979456198190903</v>
      </c>
      <c r="G338" s="15">
        <f t="shared" si="5"/>
        <v>74.979456198190903</v>
      </c>
      <c r="I338" s="21">
        <v>86.200000000011599</v>
      </c>
    </row>
    <row r="339" spans="4:9">
      <c r="D339" s="15" t="s">
        <v>336</v>
      </c>
      <c r="E339" s="21">
        <v>41.844631535368698</v>
      </c>
      <c r="F339" s="15">
        <f>Tabelle1!E338-Hoja1!E339</f>
        <v>-41.687487215368698</v>
      </c>
      <c r="G339" s="15">
        <f t="shared" si="5"/>
        <v>41.687487215368698</v>
      </c>
      <c r="I339" s="21">
        <v>41.760000000009299</v>
      </c>
    </row>
    <row r="340" spans="4:9">
      <c r="D340" s="15" t="s">
        <v>337</v>
      </c>
      <c r="E340" s="21">
        <v>14.2217904461729</v>
      </c>
      <c r="F340" s="15">
        <f>Tabelle1!E339-Hoja1!E340</f>
        <v>-14.0969303601729</v>
      </c>
      <c r="G340" s="15">
        <f t="shared" si="5"/>
        <v>14.0969303601729</v>
      </c>
      <c r="I340" s="21">
        <v>12.0899999999674</v>
      </c>
    </row>
    <row r="341" spans="4:9">
      <c r="D341" s="15" t="s">
        <v>338</v>
      </c>
      <c r="E341" s="21">
        <v>0</v>
      </c>
      <c r="F341" s="15">
        <f>Tabelle1!E340-Hoja1!E341</f>
        <v>0.15972464</v>
      </c>
      <c r="G341" s="15">
        <f t="shared" si="5"/>
        <v>0.15972464</v>
      </c>
      <c r="I341" s="21">
        <v>0.41000000003259601</v>
      </c>
    </row>
    <row r="342" spans="4:9">
      <c r="D342" s="15" t="s">
        <v>339</v>
      </c>
      <c r="E342" s="21">
        <v>0</v>
      </c>
      <c r="F342" s="15">
        <f>Tabelle1!E341-Hoja1!E342</f>
        <v>0.1681821</v>
      </c>
      <c r="G342" s="15">
        <f t="shared" si="5"/>
        <v>0.1681821</v>
      </c>
      <c r="I342" s="21">
        <v>0</v>
      </c>
    </row>
    <row r="343" spans="4:9">
      <c r="D343" s="15" t="s">
        <v>340</v>
      </c>
      <c r="E343" s="21">
        <v>0</v>
      </c>
      <c r="F343" s="15">
        <f>Tabelle1!E342-Hoja1!E343</f>
        <v>0.1681821</v>
      </c>
      <c r="G343" s="15">
        <f t="shared" si="5"/>
        <v>0.1681821</v>
      </c>
      <c r="I343" s="21">
        <v>0</v>
      </c>
    </row>
    <row r="344" spans="4:9">
      <c r="D344" s="15" t="s">
        <v>341</v>
      </c>
      <c r="E344" s="21">
        <v>0</v>
      </c>
      <c r="F344" s="15">
        <f>Tabelle1!E343-Hoja1!E344</f>
        <v>8.4404519999999997E-2</v>
      </c>
      <c r="G344" s="15">
        <f t="shared" si="5"/>
        <v>8.4404519999999997E-2</v>
      </c>
      <c r="I344" s="21">
        <v>0</v>
      </c>
    </row>
    <row r="345" spans="4:9">
      <c r="D345" s="15" t="s">
        <v>342</v>
      </c>
      <c r="E345" s="21">
        <v>0</v>
      </c>
      <c r="F345" s="15">
        <f>Tabelle1!E344-Hoja1!E345</f>
        <v>8.4404519999999997E-2</v>
      </c>
      <c r="G345" s="15">
        <f t="shared" si="5"/>
        <v>8.4404519999999997E-2</v>
      </c>
      <c r="I345" s="21">
        <v>0</v>
      </c>
    </row>
    <row r="346" spans="4:9">
      <c r="D346" s="15" t="s">
        <v>343</v>
      </c>
      <c r="E346" s="21">
        <v>0</v>
      </c>
      <c r="F346" s="15">
        <f>Tabelle1!E345-Hoja1!E346</f>
        <v>8.4404519999999997E-2</v>
      </c>
      <c r="G346" s="15">
        <f t="shared" si="5"/>
        <v>8.4404519999999997E-2</v>
      </c>
      <c r="I346" s="21">
        <v>0</v>
      </c>
    </row>
    <row r="347" spans="4:9">
      <c r="D347" s="15" t="s">
        <v>344</v>
      </c>
      <c r="E347" s="21">
        <v>0</v>
      </c>
      <c r="F347" s="15">
        <f>Tabelle1!E346-Hoja1!E347</f>
        <v>8.4404519999999997E-2</v>
      </c>
      <c r="G347" s="15">
        <f t="shared" si="5"/>
        <v>8.4404519999999997E-2</v>
      </c>
      <c r="I347" s="21">
        <v>0</v>
      </c>
    </row>
    <row r="348" spans="4:9">
      <c r="D348" s="15" t="s">
        <v>345</v>
      </c>
      <c r="E348" s="21">
        <v>0</v>
      </c>
      <c r="F348" s="15">
        <f>Tabelle1!E347-Hoja1!E348</f>
        <v>8.4404519999999997E-2</v>
      </c>
      <c r="G348" s="15">
        <f t="shared" si="5"/>
        <v>8.4404519999999997E-2</v>
      </c>
      <c r="I348" s="21">
        <v>0</v>
      </c>
    </row>
    <row r="349" spans="4:9">
      <c r="D349" s="15" t="s">
        <v>346</v>
      </c>
      <c r="E349" s="21">
        <v>0</v>
      </c>
      <c r="F349" s="15">
        <f>Tabelle1!E348-Hoja1!E349</f>
        <v>8.4404519999999997E-2</v>
      </c>
      <c r="G349" s="15">
        <f t="shared" si="5"/>
        <v>8.4404519999999997E-2</v>
      </c>
      <c r="I349" s="21">
        <v>0</v>
      </c>
    </row>
    <row r="350" spans="4:9">
      <c r="D350" s="15" t="s">
        <v>347</v>
      </c>
      <c r="E350" s="21">
        <v>0</v>
      </c>
      <c r="F350" s="15">
        <f>Tabelle1!E349-Hoja1!E350</f>
        <v>8.4404519999999997E-2</v>
      </c>
      <c r="G350" s="15">
        <f t="shared" si="5"/>
        <v>8.4404519999999997E-2</v>
      </c>
      <c r="I350" s="21">
        <v>0</v>
      </c>
    </row>
    <row r="351" spans="4:9">
      <c r="D351" s="15" t="s">
        <v>348</v>
      </c>
      <c r="E351" s="21">
        <v>0</v>
      </c>
      <c r="F351" s="15">
        <f>Tabelle1!E350-Hoja1!E351</f>
        <v>8.4404519999999997E-2</v>
      </c>
      <c r="G351" s="15">
        <f t="shared" si="5"/>
        <v>8.4404519999999997E-2</v>
      </c>
      <c r="I351" s="21">
        <v>0</v>
      </c>
    </row>
    <row r="352" spans="4:9">
      <c r="D352" s="15" t="s">
        <v>349</v>
      </c>
      <c r="E352" s="21">
        <v>0</v>
      </c>
      <c r="F352" s="15">
        <f>Tabelle1!E351-Hoja1!E352</f>
        <v>8.4404519999999997E-2</v>
      </c>
      <c r="G352" s="15">
        <f t="shared" si="5"/>
        <v>8.4404519999999997E-2</v>
      </c>
      <c r="I352" s="21">
        <v>9.9999999976716894E-2</v>
      </c>
    </row>
    <row r="353" spans="4:9">
      <c r="D353" s="15" t="s">
        <v>350</v>
      </c>
      <c r="E353" s="21">
        <v>4.8238597353073498</v>
      </c>
      <c r="F353" s="15">
        <f>Tabelle1!E352-Hoja1!E353</f>
        <v>-4.65003077530735</v>
      </c>
      <c r="G353" s="15">
        <f t="shared" si="5"/>
        <v>4.65003077530735</v>
      </c>
      <c r="I353" s="21">
        <v>5.5200000000186202</v>
      </c>
    </row>
    <row r="354" spans="4:9">
      <c r="D354" s="15" t="s">
        <v>351</v>
      </c>
      <c r="E354" s="21">
        <v>27.0366838753948</v>
      </c>
      <c r="F354" s="15">
        <f>Tabelle1!E353-Hoja1!E354</f>
        <v>-27.2492311653948</v>
      </c>
      <c r="G354" s="15">
        <f t="shared" si="5"/>
        <v>27.2492311653948</v>
      </c>
      <c r="I354" s="21">
        <v>32.330000000016298</v>
      </c>
    </row>
    <row r="355" spans="4:9">
      <c r="D355" s="15" t="s">
        <v>352</v>
      </c>
      <c r="E355" s="21">
        <v>79.847975528943294</v>
      </c>
      <c r="F355" s="15">
        <f>Tabelle1!E354-Hoja1!E355</f>
        <v>-79.960509188943291</v>
      </c>
      <c r="G355" s="15">
        <f t="shared" si="5"/>
        <v>79.960509188943291</v>
      </c>
      <c r="I355" s="21">
        <v>14.3899999999557</v>
      </c>
    </row>
    <row r="356" spans="4:9">
      <c r="D356" s="15" t="s">
        <v>353</v>
      </c>
      <c r="E356" s="21">
        <v>107.03164798082</v>
      </c>
      <c r="F356" s="15">
        <f>Tabelle1!E355-Hoja1!E356</f>
        <v>-107.14418164081999</v>
      </c>
      <c r="G356" s="15">
        <f t="shared" si="5"/>
        <v>107.14418164081999</v>
      </c>
      <c r="I356" s="21">
        <v>11.890000000013901</v>
      </c>
    </row>
    <row r="357" spans="4:9">
      <c r="D357" s="15" t="s">
        <v>354</v>
      </c>
      <c r="E357" s="21">
        <v>123.912600436993</v>
      </c>
      <c r="F357" s="15">
        <f>Tabelle1!E356-Hoja1!E357</f>
        <v>-124.025134096993</v>
      </c>
      <c r="G357" s="15">
        <f t="shared" si="5"/>
        <v>124.025134096993</v>
      </c>
      <c r="I357" s="21">
        <v>12.170000000041901</v>
      </c>
    </row>
    <row r="358" spans="4:9">
      <c r="D358" s="15" t="s">
        <v>355</v>
      </c>
      <c r="E358" s="21">
        <v>125.02956109314501</v>
      </c>
      <c r="F358" s="15">
        <f>Tabelle1!E357-Hoja1!E358</f>
        <v>-125.142094753145</v>
      </c>
      <c r="G358" s="15">
        <f t="shared" si="5"/>
        <v>125.142094753145</v>
      </c>
      <c r="I358" s="21">
        <v>90.439999999944106</v>
      </c>
    </row>
    <row r="359" spans="4:9">
      <c r="D359" s="15" t="s">
        <v>356</v>
      </c>
      <c r="E359" s="21">
        <v>124.58991903659501</v>
      </c>
      <c r="F359" s="15">
        <f>Tabelle1!E358-Hoja1!E359</f>
        <v>-124.702452696595</v>
      </c>
      <c r="G359" s="15">
        <f t="shared" si="5"/>
        <v>124.702452696595</v>
      </c>
      <c r="I359" s="21">
        <v>117</v>
      </c>
    </row>
    <row r="360" spans="4:9">
      <c r="D360" s="15" t="s">
        <v>357</v>
      </c>
      <c r="E360" s="21">
        <v>117.58031627341499</v>
      </c>
      <c r="F360" s="15">
        <f>Tabelle1!E359-Hoja1!E360</f>
        <v>-117.69284993341499</v>
      </c>
      <c r="G360" s="15">
        <f t="shared" si="5"/>
        <v>117.69284993341499</v>
      </c>
      <c r="I360" s="21">
        <v>115.5</v>
      </c>
    </row>
    <row r="361" spans="4:9">
      <c r="D361" s="15" t="s">
        <v>358</v>
      </c>
      <c r="E361" s="21">
        <v>103.960350799848</v>
      </c>
      <c r="F361" s="15">
        <f>Tabelle1!E360-Hoja1!E361</f>
        <v>-104.072884459848</v>
      </c>
      <c r="G361" s="15">
        <f t="shared" si="5"/>
        <v>104.072884459848</v>
      </c>
      <c r="I361" s="21">
        <v>107.170000000041</v>
      </c>
    </row>
    <row r="362" spans="4:9">
      <c r="D362" s="15" t="s">
        <v>359</v>
      </c>
      <c r="E362" s="21">
        <v>77.823274415621796</v>
      </c>
      <c r="F362" s="15">
        <f>Tabelle1!E361-Hoja1!E362</f>
        <v>-77.897855025621794</v>
      </c>
      <c r="G362" s="15">
        <f t="shared" si="5"/>
        <v>77.897855025621794</v>
      </c>
      <c r="I362" s="21">
        <v>85.349999999976703</v>
      </c>
    </row>
    <row r="363" spans="4:9">
      <c r="D363" s="15" t="s">
        <v>360</v>
      </c>
      <c r="E363" s="21">
        <v>41.551030446400503</v>
      </c>
      <c r="F363" s="15">
        <f>Tabelle1!E362-Hoja1!E363</f>
        <v>-41.393886126400503</v>
      </c>
      <c r="G363" s="15">
        <f t="shared" si="5"/>
        <v>41.393886126400503</v>
      </c>
      <c r="I363" s="21">
        <v>45.640000000013899</v>
      </c>
    </row>
    <row r="364" spans="4:9">
      <c r="D364" s="15" t="s">
        <v>361</v>
      </c>
      <c r="E364" s="21">
        <v>13.9727189593993</v>
      </c>
      <c r="F364" s="15">
        <f>Tabelle1!E363-Hoja1!E364</f>
        <v>-13.8478588733993</v>
      </c>
      <c r="G364" s="15">
        <f t="shared" si="5"/>
        <v>13.8478588733993</v>
      </c>
      <c r="I364" s="21">
        <v>12.5</v>
      </c>
    </row>
    <row r="365" spans="4:9">
      <c r="D365" s="15" t="s">
        <v>362</v>
      </c>
      <c r="E365" s="21">
        <v>0</v>
      </c>
      <c r="F365" s="15">
        <f>Tabelle1!E364-Hoja1!E365</f>
        <v>0.15972464</v>
      </c>
      <c r="G365" s="15">
        <f t="shared" si="5"/>
        <v>0.15972464</v>
      </c>
      <c r="I365" s="21">
        <v>0.5</v>
      </c>
    </row>
    <row r="366" spans="4:9">
      <c r="D366" s="15" t="s">
        <v>363</v>
      </c>
      <c r="E366" s="21">
        <v>0</v>
      </c>
      <c r="F366" s="15">
        <f>Tabelle1!E365-Hoja1!E366</f>
        <v>0.1681821</v>
      </c>
      <c r="G366" s="15">
        <f t="shared" si="5"/>
        <v>0.1681821</v>
      </c>
      <c r="I366" s="21">
        <v>0</v>
      </c>
    </row>
    <row r="367" spans="4:9">
      <c r="D367" s="15" t="s">
        <v>364</v>
      </c>
      <c r="E367" s="21">
        <v>0</v>
      </c>
      <c r="F367" s="15">
        <f>Tabelle1!E366-Hoja1!E367</f>
        <v>0.1681821</v>
      </c>
      <c r="G367" s="15">
        <f t="shared" si="5"/>
        <v>0.1681821</v>
      </c>
      <c r="I367" s="21">
        <v>0</v>
      </c>
    </row>
    <row r="368" spans="4:9">
      <c r="D368" s="15" t="s">
        <v>365</v>
      </c>
      <c r="E368" s="21">
        <v>0</v>
      </c>
      <c r="F368" s="15">
        <f>Tabelle1!E367-Hoja1!E368</f>
        <v>9.3493569999999998E-2</v>
      </c>
      <c r="G368" s="15">
        <f t="shared" si="5"/>
        <v>9.3493569999999998E-2</v>
      </c>
      <c r="I368" s="21">
        <v>0</v>
      </c>
    </row>
    <row r="369" spans="4:9">
      <c r="D369" s="15" t="s">
        <v>366</v>
      </c>
      <c r="E369" s="21">
        <v>0</v>
      </c>
      <c r="F369" s="15">
        <f>Tabelle1!E368-Hoja1!E369</f>
        <v>9.3493569999999998E-2</v>
      </c>
      <c r="G369" s="15">
        <f t="shared" si="5"/>
        <v>9.3493569999999998E-2</v>
      </c>
      <c r="I369" s="21">
        <v>0</v>
      </c>
    </row>
    <row r="370" spans="4:9">
      <c r="D370" s="15" t="s">
        <v>367</v>
      </c>
      <c r="E370" s="21">
        <v>0</v>
      </c>
      <c r="F370" s="15">
        <f>Tabelle1!E369-Hoja1!E370</f>
        <v>9.3493569999999998E-2</v>
      </c>
      <c r="G370" s="15">
        <f t="shared" si="5"/>
        <v>9.3493569999999998E-2</v>
      </c>
      <c r="I370" s="21">
        <v>0</v>
      </c>
    </row>
    <row r="371" spans="4:9">
      <c r="D371" s="15" t="s">
        <v>368</v>
      </c>
      <c r="E371" s="21">
        <v>0</v>
      </c>
      <c r="F371" s="15">
        <f>Tabelle1!E370-Hoja1!E371</f>
        <v>9.3493569999999998E-2</v>
      </c>
      <c r="G371" s="15">
        <f t="shared" si="5"/>
        <v>9.3493569999999998E-2</v>
      </c>
      <c r="I371" s="21">
        <v>0</v>
      </c>
    </row>
    <row r="372" spans="4:9">
      <c r="D372" s="15" t="s">
        <v>369</v>
      </c>
      <c r="E372" s="21">
        <v>0</v>
      </c>
      <c r="F372" s="15">
        <f>Tabelle1!E371-Hoja1!E372</f>
        <v>9.3493569999999998E-2</v>
      </c>
      <c r="G372" s="15">
        <f t="shared" si="5"/>
        <v>9.3493569999999998E-2</v>
      </c>
      <c r="I372" s="21">
        <v>0</v>
      </c>
    </row>
    <row r="373" spans="4:9">
      <c r="D373" s="15" t="s">
        <v>370</v>
      </c>
      <c r="E373" s="21">
        <v>0</v>
      </c>
      <c r="F373" s="15">
        <f>Tabelle1!E372-Hoja1!E373</f>
        <v>9.3493569999999998E-2</v>
      </c>
      <c r="G373" s="15">
        <f t="shared" si="5"/>
        <v>9.3493569999999998E-2</v>
      </c>
      <c r="I373" s="21">
        <v>0</v>
      </c>
    </row>
    <row r="374" spans="4:9">
      <c r="D374" s="15" t="s">
        <v>371</v>
      </c>
      <c r="E374" s="21">
        <v>0</v>
      </c>
      <c r="F374" s="15">
        <f>Tabelle1!E373-Hoja1!E374</f>
        <v>9.3493569999999998E-2</v>
      </c>
      <c r="G374" s="15">
        <f t="shared" si="5"/>
        <v>9.3493569999999998E-2</v>
      </c>
      <c r="I374" s="21">
        <v>0</v>
      </c>
    </row>
    <row r="375" spans="4:9">
      <c r="D375" s="15" t="s">
        <v>372</v>
      </c>
      <c r="E375" s="21">
        <v>0</v>
      </c>
      <c r="F375" s="15">
        <f>Tabelle1!E374-Hoja1!E375</f>
        <v>9.3493569999999998E-2</v>
      </c>
      <c r="G375" s="15">
        <f t="shared" si="5"/>
        <v>9.3493569999999998E-2</v>
      </c>
      <c r="I375" s="21">
        <v>0</v>
      </c>
    </row>
    <row r="376" spans="4:9">
      <c r="D376" s="15" t="s">
        <v>373</v>
      </c>
      <c r="E376" s="21">
        <v>0</v>
      </c>
      <c r="F376" s="15">
        <f>Tabelle1!E375-Hoja1!E376</f>
        <v>9.3493569999999998E-2</v>
      </c>
      <c r="G376" s="15">
        <f t="shared" si="5"/>
        <v>9.3493569999999998E-2</v>
      </c>
      <c r="I376" s="21">
        <v>8.0000000016298103E-2</v>
      </c>
    </row>
    <row r="377" spans="4:9">
      <c r="D377" s="15" t="s">
        <v>374</v>
      </c>
      <c r="E377" s="21">
        <v>5.4129381385344599</v>
      </c>
      <c r="F377" s="15">
        <f>Tabelle1!E376-Hoja1!E377</f>
        <v>-5.23002013853446</v>
      </c>
      <c r="G377" s="15">
        <f t="shared" si="5"/>
        <v>5.23002013853446</v>
      </c>
      <c r="I377" s="21">
        <v>5.5299999999697302</v>
      </c>
    </row>
    <row r="378" spans="4:9">
      <c r="D378" s="15" t="s">
        <v>375</v>
      </c>
      <c r="E378" s="21">
        <v>44.667221611676901</v>
      </c>
      <c r="F378" s="15">
        <f>Tabelle1!E377-Hoja1!E378</f>
        <v>-45.010221411676902</v>
      </c>
      <c r="G378" s="15">
        <f t="shared" si="5"/>
        <v>45.010221411676902</v>
      </c>
      <c r="I378" s="21">
        <v>40.960000000020898</v>
      </c>
    </row>
    <row r="379" spans="4:9">
      <c r="D379" s="15" t="s">
        <v>376</v>
      </c>
      <c r="E379" s="21">
        <v>93.675192816549</v>
      </c>
      <c r="F379" s="15">
        <f>Tabelle1!E378-Hoja1!E379</f>
        <v>-94.415585116548996</v>
      </c>
      <c r="G379" s="15">
        <f t="shared" si="5"/>
        <v>94.415585116548996</v>
      </c>
      <c r="I379" s="21">
        <v>89.1900000000023</v>
      </c>
    </row>
    <row r="380" spans="4:9">
      <c r="D380" s="15" t="s">
        <v>377</v>
      </c>
      <c r="E380" s="21">
        <v>116.745540609014</v>
      </c>
      <c r="F380" s="15">
        <f>Tabelle1!E379-Hoja1!E380</f>
        <v>-117.485932909014</v>
      </c>
      <c r="G380" s="15">
        <f t="shared" si="5"/>
        <v>117.485932909014</v>
      </c>
      <c r="I380" s="21">
        <v>122.75</v>
      </c>
    </row>
    <row r="381" spans="4:9">
      <c r="D381" s="15" t="s">
        <v>378</v>
      </c>
      <c r="E381" s="21">
        <v>131.62970978989901</v>
      </c>
      <c r="F381" s="15">
        <f>Tabelle1!E380-Hoja1!E381</f>
        <v>-132.37010208989901</v>
      </c>
      <c r="G381" s="15">
        <f t="shared" si="5"/>
        <v>132.37010208989901</v>
      </c>
      <c r="I381" s="21">
        <v>141.010000000009</v>
      </c>
    </row>
    <row r="382" spans="4:9">
      <c r="D382" s="15" t="s">
        <v>379</v>
      </c>
      <c r="E382" s="21">
        <v>130.252439127125</v>
      </c>
      <c r="F382" s="15">
        <f>Tabelle1!E381-Hoja1!E382</f>
        <v>-130.992831427125</v>
      </c>
      <c r="G382" s="15">
        <f t="shared" si="5"/>
        <v>130.992831427125</v>
      </c>
      <c r="I382" s="21">
        <v>140.45999999996201</v>
      </c>
    </row>
    <row r="383" spans="4:9">
      <c r="D383" s="15" t="s">
        <v>380</v>
      </c>
      <c r="E383" s="21">
        <v>130.59439276194399</v>
      </c>
      <c r="F383" s="15">
        <f>Tabelle1!E382-Hoja1!E383</f>
        <v>-131.33478506194399</v>
      </c>
      <c r="G383" s="15">
        <f t="shared" si="5"/>
        <v>131.33478506194399</v>
      </c>
      <c r="I383" s="21">
        <v>134.609999999986</v>
      </c>
    </row>
    <row r="384" spans="4:9">
      <c r="D384" s="15" t="s">
        <v>381</v>
      </c>
      <c r="E384" s="21">
        <v>124.977379433141</v>
      </c>
      <c r="F384" s="15">
        <f>Tabelle1!E383-Hoja1!E384</f>
        <v>-125.71777173314099</v>
      </c>
      <c r="G384" s="15">
        <f t="shared" si="5"/>
        <v>125.71777173314099</v>
      </c>
      <c r="I384" s="21">
        <v>122.47000000003</v>
      </c>
    </row>
    <row r="385" spans="4:9">
      <c r="D385" s="15" t="s">
        <v>382</v>
      </c>
      <c r="E385" s="21">
        <v>110.316329473802</v>
      </c>
      <c r="F385" s="15">
        <f>Tabelle1!E384-Hoja1!E385</f>
        <v>-111.056721773802</v>
      </c>
      <c r="G385" s="15">
        <f t="shared" si="5"/>
        <v>111.056721773802</v>
      </c>
      <c r="I385" s="21">
        <v>120.150000000023</v>
      </c>
    </row>
    <row r="386" spans="4:9">
      <c r="D386" s="15" t="s">
        <v>383</v>
      </c>
      <c r="E386" s="21">
        <v>81.632423638652895</v>
      </c>
      <c r="F386" s="15">
        <f>Tabelle1!E385-Hoja1!E386</f>
        <v>-82.282388808652897</v>
      </c>
      <c r="G386" s="15">
        <f t="shared" si="5"/>
        <v>82.282388808652897</v>
      </c>
      <c r="I386" s="21">
        <v>94.479999999981302</v>
      </c>
    </row>
    <row r="387" spans="4:9">
      <c r="D387" s="15" t="s">
        <v>384</v>
      </c>
      <c r="E387" s="21">
        <v>38.8675831794583</v>
      </c>
      <c r="F387" s="15">
        <f>Tabelle1!E386-Hoja1!E387</f>
        <v>-39.115062339458298</v>
      </c>
      <c r="G387" s="15">
        <f t="shared" si="5"/>
        <v>39.115062339458298</v>
      </c>
      <c r="I387" s="21">
        <v>51.390000000013899</v>
      </c>
    </row>
    <row r="388" spans="4:9">
      <c r="D388" s="15" t="s">
        <v>385</v>
      </c>
      <c r="E388" s="21">
        <v>14.2798472639675</v>
      </c>
      <c r="F388" s="15">
        <f>Tabelle1!E387-Hoja1!E388</f>
        <v>-14.290159929967501</v>
      </c>
      <c r="G388" s="15">
        <f t="shared" si="5"/>
        <v>14.290159929967501</v>
      </c>
      <c r="I388" s="21">
        <v>13.6300000000046</v>
      </c>
    </row>
    <row r="389" spans="4:9">
      <c r="D389" s="15" t="s">
        <v>386</v>
      </c>
      <c r="E389" s="21">
        <v>0</v>
      </c>
      <c r="F389" s="15">
        <f>Tabelle1!E388-Hoja1!E389</f>
        <v>0.156024</v>
      </c>
      <c r="G389" s="15">
        <f t="shared" si="5"/>
        <v>0.156024</v>
      </c>
      <c r="I389" s="21">
        <v>0.54999999998835802</v>
      </c>
    </row>
    <row r="390" spans="4:9">
      <c r="D390" s="15" t="s">
        <v>387</v>
      </c>
      <c r="E390" s="21">
        <v>0</v>
      </c>
      <c r="F390" s="15">
        <f>Tabelle1!E389-Hoja1!E390</f>
        <v>0.16448146</v>
      </c>
      <c r="G390" s="15">
        <f t="shared" si="5"/>
        <v>0.16448146</v>
      </c>
      <c r="I390" s="21">
        <v>0</v>
      </c>
    </row>
    <row r="391" spans="4:9">
      <c r="D391" s="15" t="s">
        <v>388</v>
      </c>
      <c r="E391" s="21">
        <v>0</v>
      </c>
      <c r="F391" s="15">
        <f>Tabelle1!E390-Hoja1!E391</f>
        <v>0.16448146</v>
      </c>
      <c r="G391" s="15">
        <f t="shared" si="5"/>
        <v>0.16448146</v>
      </c>
      <c r="I391" s="21">
        <v>0</v>
      </c>
    </row>
    <row r="392" spans="4:9">
      <c r="D392" s="15" t="s">
        <v>389</v>
      </c>
      <c r="E392" s="21">
        <v>0</v>
      </c>
      <c r="F392" s="15">
        <f>Tabelle1!E391-Hoja1!E392</f>
        <v>9.3493569999999998E-2</v>
      </c>
      <c r="G392" s="15">
        <f t="shared" si="5"/>
        <v>9.3493569999999998E-2</v>
      </c>
      <c r="I392" s="21">
        <v>0</v>
      </c>
    </row>
    <row r="393" spans="4:9">
      <c r="D393" s="15" t="s">
        <v>390</v>
      </c>
      <c r="E393" s="21">
        <v>0</v>
      </c>
      <c r="F393" s="15">
        <f>Tabelle1!E392-Hoja1!E393</f>
        <v>9.3493569999999998E-2</v>
      </c>
      <c r="G393" s="15">
        <f t="shared" ref="G393:G456" si="6">ABS(F393)</f>
        <v>9.3493569999999998E-2</v>
      </c>
      <c r="I393" s="21">
        <v>0</v>
      </c>
    </row>
    <row r="394" spans="4:9">
      <c r="D394" s="15" t="s">
        <v>391</v>
      </c>
      <c r="E394" s="21">
        <v>0</v>
      </c>
      <c r="F394" s="15">
        <f>Tabelle1!E393-Hoja1!E394</f>
        <v>9.3493569999999998E-2</v>
      </c>
      <c r="G394" s="15">
        <f t="shared" si="6"/>
        <v>9.3493569999999998E-2</v>
      </c>
      <c r="I394" s="21">
        <v>0</v>
      </c>
    </row>
    <row r="395" spans="4:9">
      <c r="D395" s="15" t="s">
        <v>392</v>
      </c>
      <c r="E395" s="21">
        <v>0</v>
      </c>
      <c r="F395" s="15">
        <f>Tabelle1!E394-Hoja1!E395</f>
        <v>9.3493569999999998E-2</v>
      </c>
      <c r="G395" s="15">
        <f t="shared" si="6"/>
        <v>9.3493569999999998E-2</v>
      </c>
      <c r="I395" s="21">
        <v>0</v>
      </c>
    </row>
    <row r="396" spans="4:9">
      <c r="D396" s="15" t="s">
        <v>393</v>
      </c>
      <c r="E396" s="21">
        <v>0</v>
      </c>
      <c r="F396" s="15">
        <f>Tabelle1!E395-Hoja1!E396</f>
        <v>9.3493569999999998E-2</v>
      </c>
      <c r="G396" s="15">
        <f t="shared" si="6"/>
        <v>9.3493569999999998E-2</v>
      </c>
      <c r="I396" s="21">
        <v>0</v>
      </c>
    </row>
    <row r="397" spans="4:9">
      <c r="D397" s="15" t="s">
        <v>394</v>
      </c>
      <c r="E397" s="21">
        <v>0</v>
      </c>
      <c r="F397" s="15">
        <f>Tabelle1!E396-Hoja1!E397</f>
        <v>9.3493569999999998E-2</v>
      </c>
      <c r="G397" s="15">
        <f t="shared" si="6"/>
        <v>9.3493569999999998E-2</v>
      </c>
      <c r="I397" s="21">
        <v>0</v>
      </c>
    </row>
    <row r="398" spans="4:9">
      <c r="D398" s="15" t="s">
        <v>395</v>
      </c>
      <c r="E398" s="21">
        <v>0</v>
      </c>
      <c r="F398" s="15">
        <f>Tabelle1!E397-Hoja1!E398</f>
        <v>9.3493569999999998E-2</v>
      </c>
      <c r="G398" s="15">
        <f t="shared" si="6"/>
        <v>9.3493569999999998E-2</v>
      </c>
      <c r="I398" s="21">
        <v>0</v>
      </c>
    </row>
    <row r="399" spans="4:9">
      <c r="D399" s="15" t="s">
        <v>396</v>
      </c>
      <c r="E399" s="21">
        <v>0</v>
      </c>
      <c r="F399" s="15">
        <f>Tabelle1!E398-Hoja1!E399</f>
        <v>9.3493569999999998E-2</v>
      </c>
      <c r="G399" s="15">
        <f t="shared" si="6"/>
        <v>9.3493569999999998E-2</v>
      </c>
      <c r="I399" s="21">
        <v>0</v>
      </c>
    </row>
    <row r="400" spans="4:9">
      <c r="D400" s="15" t="s">
        <v>397</v>
      </c>
      <c r="E400" s="21">
        <v>0</v>
      </c>
      <c r="F400" s="15">
        <f>Tabelle1!E399-Hoja1!E400</f>
        <v>9.3493569999999998E-2</v>
      </c>
      <c r="G400" s="15">
        <f t="shared" si="6"/>
        <v>9.3493569999999998E-2</v>
      </c>
      <c r="I400" s="21">
        <v>0.14000000001396901</v>
      </c>
    </row>
    <row r="401" spans="4:9">
      <c r="D401" s="15" t="s">
        <v>398</v>
      </c>
      <c r="E401" s="21">
        <v>4.8703402684546599</v>
      </c>
      <c r="F401" s="15">
        <f>Tabelle1!E400-Hoja1!E401</f>
        <v>-4.68742226845466</v>
      </c>
      <c r="G401" s="15">
        <f t="shared" si="6"/>
        <v>4.68742226845466</v>
      </c>
      <c r="I401" s="21">
        <v>5.3599999999860302</v>
      </c>
    </row>
    <row r="402" spans="4:9">
      <c r="D402" s="15" t="s">
        <v>399</v>
      </c>
      <c r="E402" s="21">
        <v>34.497664856588699</v>
      </c>
      <c r="F402" s="15">
        <f>Tabelle1!E401-Hoja1!E402</f>
        <v>-34.8406646565887</v>
      </c>
      <c r="G402" s="15">
        <f t="shared" si="6"/>
        <v>34.8406646565887</v>
      </c>
      <c r="I402" s="21">
        <v>39.0700000000069</v>
      </c>
    </row>
    <row r="403" spans="4:9">
      <c r="D403" s="15" t="s">
        <v>400</v>
      </c>
      <c r="E403" s="21">
        <v>87.537362895633194</v>
      </c>
      <c r="F403" s="15">
        <f>Tabelle1!E402-Hoja1!E403</f>
        <v>-88.277755195633191</v>
      </c>
      <c r="G403" s="15">
        <f t="shared" si="6"/>
        <v>88.277755195633191</v>
      </c>
      <c r="I403" s="21">
        <v>86.359999999986002</v>
      </c>
    </row>
    <row r="404" spans="4:9">
      <c r="D404" s="15" t="s">
        <v>401</v>
      </c>
      <c r="E404" s="21">
        <v>116.623031340358</v>
      </c>
      <c r="F404" s="15">
        <f>Tabelle1!E403-Hoja1!E404</f>
        <v>-117.36342364035799</v>
      </c>
      <c r="G404" s="15">
        <f t="shared" si="6"/>
        <v>117.36342364035799</v>
      </c>
      <c r="I404" s="21">
        <v>123.330000000016</v>
      </c>
    </row>
    <row r="405" spans="4:9">
      <c r="D405" s="15" t="s">
        <v>402</v>
      </c>
      <c r="E405" s="21">
        <v>132.95777172718499</v>
      </c>
      <c r="F405" s="15">
        <f>Tabelle1!E404-Hoja1!E405</f>
        <v>-133.69816402718499</v>
      </c>
      <c r="G405" s="15">
        <f t="shared" si="6"/>
        <v>133.69816402718499</v>
      </c>
      <c r="I405" s="21">
        <v>140.94999999995301</v>
      </c>
    </row>
    <row r="406" spans="4:9">
      <c r="D406" s="15" t="s">
        <v>403</v>
      </c>
      <c r="E406" s="21">
        <v>131.109665720501</v>
      </c>
      <c r="F406" s="15">
        <f>Tabelle1!E405-Hoja1!E406</f>
        <v>-131.850058020501</v>
      </c>
      <c r="G406" s="15">
        <f t="shared" si="6"/>
        <v>131.850058020501</v>
      </c>
      <c r="I406" s="21">
        <v>140.25</v>
      </c>
    </row>
    <row r="407" spans="4:9">
      <c r="D407" s="15" t="s">
        <v>404</v>
      </c>
      <c r="E407" s="21">
        <v>127.469398904681</v>
      </c>
      <c r="F407" s="15">
        <f>Tabelle1!E406-Hoja1!E407</f>
        <v>-128.20979120468101</v>
      </c>
      <c r="G407" s="15">
        <f t="shared" si="6"/>
        <v>128.20979120468101</v>
      </c>
      <c r="I407" s="21">
        <v>138.420000000041</v>
      </c>
    </row>
    <row r="408" spans="4:9">
      <c r="D408" s="15" t="s">
        <v>405</v>
      </c>
      <c r="E408" s="21">
        <v>120.092682637769</v>
      </c>
      <c r="F408" s="15">
        <f>Tabelle1!E407-Hoja1!E408</f>
        <v>-120.833074937769</v>
      </c>
      <c r="G408" s="15">
        <f t="shared" si="6"/>
        <v>120.833074937769</v>
      </c>
      <c r="I408" s="21">
        <v>128.63999999995499</v>
      </c>
    </row>
    <row r="409" spans="4:9">
      <c r="D409" s="15" t="s">
        <v>406</v>
      </c>
      <c r="E409" s="21">
        <v>109.47000192479901</v>
      </c>
      <c r="F409" s="15">
        <f>Tabelle1!E408-Hoja1!E409</f>
        <v>-110.210394224799</v>
      </c>
      <c r="G409" s="15">
        <f t="shared" si="6"/>
        <v>110.210394224799</v>
      </c>
      <c r="I409" s="21">
        <v>106.830000000016</v>
      </c>
    </row>
    <row r="410" spans="4:9">
      <c r="D410" s="15" t="s">
        <v>407</v>
      </c>
      <c r="E410" s="21">
        <v>79.236072000377405</v>
      </c>
      <c r="F410" s="15">
        <f>Tabelle1!E409-Hoja1!E410</f>
        <v>-79.886037170377406</v>
      </c>
      <c r="G410" s="15">
        <f t="shared" si="6"/>
        <v>79.886037170377406</v>
      </c>
      <c r="I410" s="21">
        <v>90.890000000013899</v>
      </c>
    </row>
    <row r="411" spans="4:9">
      <c r="D411" s="15" t="s">
        <v>408</v>
      </c>
      <c r="E411" s="21">
        <v>36.961525672418098</v>
      </c>
      <c r="F411" s="15">
        <f>Tabelle1!E410-Hoja1!E411</f>
        <v>-37.209004832418096</v>
      </c>
      <c r="G411" s="15">
        <f t="shared" si="6"/>
        <v>37.209004832418096</v>
      </c>
      <c r="I411" s="21">
        <v>48.3800000000046</v>
      </c>
    </row>
    <row r="412" spans="4:9">
      <c r="D412" s="15" t="s">
        <v>409</v>
      </c>
      <c r="E412" s="21">
        <v>13.9518864595638</v>
      </c>
      <c r="F412" s="15">
        <f>Tabelle1!E411-Hoja1!E412</f>
        <v>-13.962199125563801</v>
      </c>
      <c r="G412" s="15">
        <f t="shared" si="6"/>
        <v>13.962199125563801</v>
      </c>
      <c r="I412" s="21">
        <v>11.219999999972</v>
      </c>
    </row>
    <row r="413" spans="4:9">
      <c r="D413" s="15" t="s">
        <v>410</v>
      </c>
      <c r="E413" s="21">
        <v>0</v>
      </c>
      <c r="F413" s="15">
        <f>Tabelle1!E412-Hoja1!E413</f>
        <v>0.156024</v>
      </c>
      <c r="G413" s="15">
        <f t="shared" si="6"/>
        <v>0.156024</v>
      </c>
      <c r="I413" s="21">
        <v>0.380000000004656</v>
      </c>
    </row>
    <row r="414" spans="4:9">
      <c r="D414" s="15" t="s">
        <v>411</v>
      </c>
      <c r="E414" s="21">
        <v>0</v>
      </c>
      <c r="F414" s="15">
        <f>Tabelle1!E413-Hoja1!E414</f>
        <v>0.16448146</v>
      </c>
      <c r="G414" s="15">
        <f t="shared" si="6"/>
        <v>0.16448146</v>
      </c>
      <c r="I414" s="21">
        <v>0</v>
      </c>
    </row>
    <row r="415" spans="4:9">
      <c r="D415" s="15" t="s">
        <v>412</v>
      </c>
      <c r="E415" s="21">
        <v>0</v>
      </c>
      <c r="F415" s="15">
        <f>Tabelle1!E414-Hoja1!E415</f>
        <v>0.16448146</v>
      </c>
      <c r="G415" s="15">
        <f t="shared" si="6"/>
        <v>0.16448146</v>
      </c>
      <c r="I415" s="21">
        <v>0</v>
      </c>
    </row>
    <row r="416" spans="4:9">
      <c r="D416" s="15" t="s">
        <v>413</v>
      </c>
      <c r="E416" s="21">
        <v>0</v>
      </c>
      <c r="F416" s="15">
        <f>Tabelle1!E415-Hoja1!E416</f>
        <v>9.3493569999999998E-2</v>
      </c>
      <c r="G416" s="15">
        <f t="shared" si="6"/>
        <v>9.3493569999999998E-2</v>
      </c>
      <c r="I416" s="21">
        <v>0</v>
      </c>
    </row>
    <row r="417" spans="4:9">
      <c r="D417" s="15" t="s">
        <v>414</v>
      </c>
      <c r="E417" s="21">
        <v>0</v>
      </c>
      <c r="F417" s="15">
        <f>Tabelle1!E416-Hoja1!E417</f>
        <v>9.3493569999999998E-2</v>
      </c>
      <c r="G417" s="15">
        <f t="shared" si="6"/>
        <v>9.3493569999999998E-2</v>
      </c>
      <c r="I417" s="21">
        <v>0</v>
      </c>
    </row>
    <row r="418" spans="4:9">
      <c r="D418" s="15" t="s">
        <v>415</v>
      </c>
      <c r="E418" s="21">
        <v>0</v>
      </c>
      <c r="F418" s="15">
        <f>Tabelle1!E417-Hoja1!E418</f>
        <v>9.3493569999999998E-2</v>
      </c>
      <c r="G418" s="15">
        <f t="shared" si="6"/>
        <v>9.3493569999999998E-2</v>
      </c>
      <c r="I418" s="21">
        <v>0</v>
      </c>
    </row>
    <row r="419" spans="4:9">
      <c r="D419" s="15" t="s">
        <v>416</v>
      </c>
      <c r="E419" s="21">
        <v>0</v>
      </c>
      <c r="F419" s="15">
        <f>Tabelle1!E418-Hoja1!E419</f>
        <v>9.3493569999999998E-2</v>
      </c>
      <c r="G419" s="15">
        <f t="shared" si="6"/>
        <v>9.3493569999999998E-2</v>
      </c>
      <c r="I419" s="21">
        <v>0</v>
      </c>
    </row>
    <row r="420" spans="4:9">
      <c r="D420" s="15" t="s">
        <v>417</v>
      </c>
      <c r="E420" s="21">
        <v>0</v>
      </c>
      <c r="F420" s="15">
        <f>Tabelle1!E419-Hoja1!E420</f>
        <v>9.3493569999999998E-2</v>
      </c>
      <c r="G420" s="15">
        <f t="shared" si="6"/>
        <v>9.3493569999999998E-2</v>
      </c>
      <c r="I420" s="21">
        <v>0</v>
      </c>
    </row>
    <row r="421" spans="4:9">
      <c r="D421" s="15" t="s">
        <v>418</v>
      </c>
      <c r="E421" s="21">
        <v>0</v>
      </c>
      <c r="F421" s="15">
        <f>Tabelle1!E420-Hoja1!E421</f>
        <v>9.3493569999999998E-2</v>
      </c>
      <c r="G421" s="15">
        <f t="shared" si="6"/>
        <v>9.3493569999999998E-2</v>
      </c>
      <c r="I421" s="21">
        <v>0</v>
      </c>
    </row>
    <row r="422" spans="4:9">
      <c r="D422" s="15" t="s">
        <v>419</v>
      </c>
      <c r="E422" s="21">
        <v>0</v>
      </c>
      <c r="F422" s="15">
        <f>Tabelle1!E421-Hoja1!E422</f>
        <v>9.3493569999999998E-2</v>
      </c>
      <c r="G422" s="15">
        <f t="shared" si="6"/>
        <v>9.3493569999999998E-2</v>
      </c>
      <c r="I422" s="21">
        <v>0</v>
      </c>
    </row>
    <row r="423" spans="4:9">
      <c r="D423" s="15" t="s">
        <v>420</v>
      </c>
      <c r="E423" s="21">
        <v>0</v>
      </c>
      <c r="F423" s="15">
        <f>Tabelle1!E422-Hoja1!E423</f>
        <v>9.3493569999999998E-2</v>
      </c>
      <c r="G423" s="15">
        <f t="shared" si="6"/>
        <v>9.3493569999999998E-2</v>
      </c>
      <c r="I423" s="21">
        <v>0</v>
      </c>
    </row>
    <row r="424" spans="4:9">
      <c r="D424" s="15" t="s">
        <v>421</v>
      </c>
      <c r="E424" s="21">
        <v>0</v>
      </c>
      <c r="F424" s="15">
        <f>Tabelle1!E423-Hoja1!E424</f>
        <v>9.3493569999999998E-2</v>
      </c>
      <c r="G424" s="15">
        <f t="shared" si="6"/>
        <v>9.3493569999999998E-2</v>
      </c>
      <c r="I424" s="21">
        <v>7.0000000006984905E-2</v>
      </c>
    </row>
    <row r="425" spans="4:9">
      <c r="D425" s="15" t="s">
        <v>422</v>
      </c>
      <c r="E425" s="21">
        <v>5.0626842497916602</v>
      </c>
      <c r="F425" s="15">
        <f>Tabelle1!E424-Hoja1!E425</f>
        <v>-4.8797662497916603</v>
      </c>
      <c r="G425" s="15">
        <f t="shared" si="6"/>
        <v>4.8797662497916603</v>
      </c>
      <c r="I425" s="21">
        <v>5.4500000000116398</v>
      </c>
    </row>
    <row r="426" spans="4:9">
      <c r="D426" s="15" t="s">
        <v>423</v>
      </c>
      <c r="E426" s="21">
        <v>29.743668486445099</v>
      </c>
      <c r="F426" s="15">
        <f>Tabelle1!E425-Hoja1!E426</f>
        <v>-30.0866682864451</v>
      </c>
      <c r="G426" s="15">
        <f t="shared" si="6"/>
        <v>30.0866682864451</v>
      </c>
      <c r="I426" s="21">
        <v>35.710000000020898</v>
      </c>
    </row>
    <row r="427" spans="4:9">
      <c r="D427" s="15" t="s">
        <v>424</v>
      </c>
      <c r="E427" s="21">
        <v>54.869106786897099</v>
      </c>
      <c r="F427" s="15">
        <f>Tabelle1!E426-Hoja1!E427</f>
        <v>-55.609499086897102</v>
      </c>
      <c r="G427" s="15">
        <f t="shared" si="6"/>
        <v>55.609499086897102</v>
      </c>
      <c r="I427" s="21">
        <v>79.959999999962704</v>
      </c>
    </row>
    <row r="428" spans="4:9">
      <c r="D428" s="15" t="s">
        <v>425</v>
      </c>
      <c r="E428" s="21">
        <v>96.598072635549897</v>
      </c>
      <c r="F428" s="15">
        <f>Tabelle1!E427-Hoja1!E428</f>
        <v>-97.338464935549894</v>
      </c>
      <c r="G428" s="15">
        <f t="shared" si="6"/>
        <v>97.338464935549894</v>
      </c>
      <c r="I428" s="21">
        <v>116.059999999997</v>
      </c>
    </row>
    <row r="429" spans="4:9">
      <c r="D429" s="15" t="s">
        <v>426</v>
      </c>
      <c r="E429" s="21">
        <v>124.622271899407</v>
      </c>
      <c r="F429" s="15">
        <f>Tabelle1!E428-Hoja1!E429</f>
        <v>-125.36266419940699</v>
      </c>
      <c r="G429" s="15">
        <f t="shared" si="6"/>
        <v>125.36266419940699</v>
      </c>
      <c r="I429" s="21">
        <v>132.71000000001999</v>
      </c>
    </row>
    <row r="430" spans="4:9">
      <c r="D430" s="15" t="s">
        <v>427</v>
      </c>
      <c r="E430" s="21">
        <v>124.1441641939</v>
      </c>
      <c r="F430" s="15">
        <f>Tabelle1!E429-Hoja1!E430</f>
        <v>-124.88455649389999</v>
      </c>
      <c r="G430" s="15">
        <f t="shared" si="6"/>
        <v>124.88455649389999</v>
      </c>
      <c r="I430" s="21">
        <v>133.23999999999</v>
      </c>
    </row>
    <row r="431" spans="4:9">
      <c r="D431" s="15" t="s">
        <v>428</v>
      </c>
      <c r="E431" s="21">
        <v>123.60774542708999</v>
      </c>
      <c r="F431" s="15">
        <f>Tabelle1!E430-Hoja1!E431</f>
        <v>-124.34813772708999</v>
      </c>
      <c r="G431" s="15">
        <f t="shared" si="6"/>
        <v>124.34813772708999</v>
      </c>
      <c r="I431" s="21">
        <v>108.770000000018</v>
      </c>
    </row>
    <row r="432" spans="4:9">
      <c r="D432" s="15" t="s">
        <v>429</v>
      </c>
      <c r="E432" s="21">
        <v>118.411381020181</v>
      </c>
      <c r="F432" s="15">
        <f>Tabelle1!E431-Hoja1!E432</f>
        <v>-119.15177332018099</v>
      </c>
      <c r="G432" s="15">
        <f t="shared" si="6"/>
        <v>119.15177332018099</v>
      </c>
      <c r="I432" s="21">
        <v>106.940000000002</v>
      </c>
    </row>
    <row r="433" spans="4:9">
      <c r="D433" s="15" t="s">
        <v>430</v>
      </c>
      <c r="E433" s="21">
        <v>108.359745295971</v>
      </c>
      <c r="F433" s="15">
        <f>Tabelle1!E432-Hoja1!E433</f>
        <v>-109.10013759597099</v>
      </c>
      <c r="G433" s="15">
        <f t="shared" si="6"/>
        <v>109.10013759597099</v>
      </c>
      <c r="I433" s="21">
        <v>102.320000000006</v>
      </c>
    </row>
    <row r="434" spans="4:9">
      <c r="D434" s="15" t="s">
        <v>431</v>
      </c>
      <c r="E434" s="21">
        <v>77.148350686362903</v>
      </c>
      <c r="F434" s="15">
        <f>Tabelle1!E433-Hoja1!E434</f>
        <v>-77.798315856362905</v>
      </c>
      <c r="G434" s="15">
        <f t="shared" si="6"/>
        <v>77.798315856362905</v>
      </c>
      <c r="I434" s="21">
        <v>86.669999999983702</v>
      </c>
    </row>
    <row r="435" spans="4:9">
      <c r="D435" s="15" t="s">
        <v>432</v>
      </c>
      <c r="E435" s="21">
        <v>36.7852666544577</v>
      </c>
      <c r="F435" s="15">
        <f>Tabelle1!E434-Hoja1!E435</f>
        <v>-37.032745814457698</v>
      </c>
      <c r="G435" s="15">
        <f t="shared" si="6"/>
        <v>37.032745814457698</v>
      </c>
      <c r="I435" s="21">
        <v>44.8200000000069</v>
      </c>
    </row>
    <row r="436" spans="4:9">
      <c r="D436" s="15" t="s">
        <v>433</v>
      </c>
      <c r="E436" s="21">
        <v>13.9234974921476</v>
      </c>
      <c r="F436" s="15">
        <f>Tabelle1!E435-Hoja1!E436</f>
        <v>-13.933810158147601</v>
      </c>
      <c r="G436" s="15">
        <f t="shared" si="6"/>
        <v>13.933810158147601</v>
      </c>
      <c r="I436" s="21">
        <v>10.010000000009301</v>
      </c>
    </row>
    <row r="437" spans="4:9">
      <c r="D437" s="15" t="s">
        <v>434</v>
      </c>
      <c r="E437" s="21">
        <v>0</v>
      </c>
      <c r="F437" s="15">
        <f>Tabelle1!E436-Hoja1!E437</f>
        <v>0.156024</v>
      </c>
      <c r="G437" s="15">
        <f t="shared" si="6"/>
        <v>0.156024</v>
      </c>
      <c r="I437" s="21">
        <v>0.239999999990686</v>
      </c>
    </row>
    <row r="438" spans="4:9">
      <c r="D438" s="15" t="s">
        <v>435</v>
      </c>
      <c r="E438" s="21">
        <v>0</v>
      </c>
      <c r="F438" s="15">
        <f>Tabelle1!E437-Hoja1!E438</f>
        <v>0.16448146</v>
      </c>
      <c r="G438" s="15">
        <f t="shared" si="6"/>
        <v>0.16448146</v>
      </c>
      <c r="I438" s="21">
        <v>0</v>
      </c>
    </row>
    <row r="439" spans="4:9">
      <c r="D439" s="15" t="s">
        <v>436</v>
      </c>
      <c r="E439" s="21">
        <v>0</v>
      </c>
      <c r="F439" s="15">
        <f>Tabelle1!E438-Hoja1!E439</f>
        <v>0.16448146</v>
      </c>
      <c r="G439" s="15">
        <f t="shared" si="6"/>
        <v>0.16448146</v>
      </c>
      <c r="I439" s="21">
        <v>0</v>
      </c>
    </row>
    <row r="440" spans="4:9">
      <c r="D440" s="15" t="s">
        <v>437</v>
      </c>
      <c r="E440" s="21">
        <v>0</v>
      </c>
      <c r="F440" s="15">
        <f>Tabelle1!E439-Hoja1!E440</f>
        <v>9.3493569999999998E-2</v>
      </c>
      <c r="G440" s="15">
        <f t="shared" si="6"/>
        <v>9.3493569999999998E-2</v>
      </c>
      <c r="I440" s="21">
        <v>0</v>
      </c>
    </row>
    <row r="441" spans="4:9">
      <c r="D441" s="15" t="s">
        <v>438</v>
      </c>
      <c r="E441" s="21">
        <v>0</v>
      </c>
      <c r="F441" s="15">
        <f>Tabelle1!E440-Hoja1!E441</f>
        <v>9.3493569999999998E-2</v>
      </c>
      <c r="G441" s="15">
        <f t="shared" si="6"/>
        <v>9.3493569999999998E-2</v>
      </c>
      <c r="I441" s="21">
        <v>0</v>
      </c>
    </row>
    <row r="442" spans="4:9">
      <c r="D442" s="15" t="s">
        <v>439</v>
      </c>
      <c r="E442" s="21">
        <v>0</v>
      </c>
      <c r="F442" s="15">
        <f>Tabelle1!E441-Hoja1!E442</f>
        <v>9.3493569999999998E-2</v>
      </c>
      <c r="G442" s="15">
        <f t="shared" si="6"/>
        <v>9.3493569999999998E-2</v>
      </c>
      <c r="I442" s="21">
        <v>0</v>
      </c>
    </row>
    <row r="443" spans="4:9">
      <c r="D443" s="15" t="s">
        <v>440</v>
      </c>
      <c r="E443" s="21">
        <v>0</v>
      </c>
      <c r="F443" s="15">
        <f>Tabelle1!E442-Hoja1!E443</f>
        <v>9.3493569999999998E-2</v>
      </c>
      <c r="G443" s="15">
        <f t="shared" si="6"/>
        <v>9.3493569999999998E-2</v>
      </c>
      <c r="I443" s="21">
        <v>0</v>
      </c>
    </row>
    <row r="444" spans="4:9">
      <c r="D444" s="15" t="s">
        <v>441</v>
      </c>
      <c r="E444" s="21">
        <v>0</v>
      </c>
      <c r="F444" s="15">
        <f>Tabelle1!E443-Hoja1!E444</f>
        <v>9.3493569999999998E-2</v>
      </c>
      <c r="G444" s="15">
        <f t="shared" si="6"/>
        <v>9.3493569999999998E-2</v>
      </c>
      <c r="I444" s="21">
        <v>0</v>
      </c>
    </row>
    <row r="445" spans="4:9">
      <c r="D445" s="15" t="s">
        <v>442</v>
      </c>
      <c r="E445" s="21">
        <v>0</v>
      </c>
      <c r="F445" s="15">
        <f>Tabelle1!E444-Hoja1!E445</f>
        <v>9.3493569999999998E-2</v>
      </c>
      <c r="G445" s="15">
        <f t="shared" si="6"/>
        <v>9.3493569999999998E-2</v>
      </c>
      <c r="I445" s="21">
        <v>0</v>
      </c>
    </row>
    <row r="446" spans="4:9">
      <c r="D446" s="15" t="s">
        <v>443</v>
      </c>
      <c r="E446" s="21">
        <v>0</v>
      </c>
      <c r="F446" s="15">
        <f>Tabelle1!E445-Hoja1!E446</f>
        <v>9.3493569999999998E-2</v>
      </c>
      <c r="G446" s="15">
        <f t="shared" si="6"/>
        <v>9.3493569999999998E-2</v>
      </c>
      <c r="I446" s="21">
        <v>0</v>
      </c>
    </row>
    <row r="447" spans="4:9">
      <c r="D447" s="15" t="s">
        <v>444</v>
      </c>
      <c r="E447" s="21">
        <v>0</v>
      </c>
      <c r="F447" s="15">
        <f>Tabelle1!E446-Hoja1!E447</f>
        <v>9.3493569999999998E-2</v>
      </c>
      <c r="G447" s="15">
        <f t="shared" si="6"/>
        <v>9.3493569999999998E-2</v>
      </c>
      <c r="I447" s="21">
        <v>0</v>
      </c>
    </row>
    <row r="448" spans="4:9">
      <c r="D448" s="15" t="s">
        <v>445</v>
      </c>
      <c r="E448" s="21">
        <v>0</v>
      </c>
      <c r="F448" s="15">
        <f>Tabelle1!E447-Hoja1!E448</f>
        <v>9.3493569999999998E-2</v>
      </c>
      <c r="G448" s="15">
        <f t="shared" si="6"/>
        <v>9.3493569999999998E-2</v>
      </c>
      <c r="I448" s="21">
        <v>3.99999999790452E-2</v>
      </c>
    </row>
    <row r="449" spans="4:9">
      <c r="D449" s="15" t="s">
        <v>446</v>
      </c>
      <c r="E449" s="21">
        <v>5.0626842497916602</v>
      </c>
      <c r="F449" s="15">
        <f>Tabelle1!E448-Hoja1!E449</f>
        <v>-4.8797662497916603</v>
      </c>
      <c r="G449" s="15">
        <f t="shared" si="6"/>
        <v>4.8797662497916603</v>
      </c>
      <c r="I449" s="21">
        <v>4.3200000000069796</v>
      </c>
    </row>
    <row r="450" spans="4:9">
      <c r="D450" s="15" t="s">
        <v>447</v>
      </c>
      <c r="E450" s="21">
        <v>27.491193126629302</v>
      </c>
      <c r="F450" s="15">
        <f>Tabelle1!E449-Hoja1!E450</f>
        <v>-27.834192926629303</v>
      </c>
      <c r="G450" s="15">
        <f t="shared" si="6"/>
        <v>27.834192926629303</v>
      </c>
      <c r="I450" s="21">
        <v>27.859999999986002</v>
      </c>
    </row>
    <row r="451" spans="4:9">
      <c r="D451" s="15" t="s">
        <v>448</v>
      </c>
      <c r="E451" s="21">
        <v>34.467197514294902</v>
      </c>
      <c r="F451" s="15">
        <f>Tabelle1!E450-Hoja1!E451</f>
        <v>-35.207589814294906</v>
      </c>
      <c r="G451" s="15">
        <f t="shared" si="6"/>
        <v>35.207589814294906</v>
      </c>
      <c r="I451" s="21">
        <v>59.020000000018598</v>
      </c>
    </row>
    <row r="452" spans="4:9">
      <c r="D452" s="15" t="s">
        <v>449</v>
      </c>
      <c r="E452" s="21">
        <v>69.942823080893405</v>
      </c>
      <c r="F452" s="15">
        <f>Tabelle1!E451-Hoja1!E452</f>
        <v>-70.683215380893401</v>
      </c>
      <c r="G452" s="15">
        <f t="shared" si="6"/>
        <v>70.683215380893401</v>
      </c>
      <c r="I452" s="21">
        <v>52.669999999983702</v>
      </c>
    </row>
    <row r="453" spans="4:9">
      <c r="D453" s="15" t="s">
        <v>450</v>
      </c>
      <c r="E453" s="21">
        <v>102.15371865830301</v>
      </c>
      <c r="F453" s="15">
        <f>Tabelle1!E452-Hoja1!E453</f>
        <v>-102.894110958303</v>
      </c>
      <c r="G453" s="15">
        <f t="shared" si="6"/>
        <v>102.894110958303</v>
      </c>
      <c r="I453" s="21">
        <v>56.929999999993001</v>
      </c>
    </row>
    <row r="454" spans="4:9">
      <c r="D454" s="15" t="s">
        <v>451</v>
      </c>
      <c r="E454" s="21">
        <v>116.612120888763</v>
      </c>
      <c r="F454" s="15">
        <f>Tabelle1!E453-Hoja1!E454</f>
        <v>-117.352513188763</v>
      </c>
      <c r="G454" s="15">
        <f t="shared" si="6"/>
        <v>117.352513188763</v>
      </c>
      <c r="I454" s="21">
        <v>33.140000000013899</v>
      </c>
    </row>
    <row r="455" spans="4:9">
      <c r="D455" s="15" t="s">
        <v>452</v>
      </c>
      <c r="E455" s="21">
        <v>116.067292794822</v>
      </c>
      <c r="F455" s="15">
        <f>Tabelle1!E454-Hoja1!E455</f>
        <v>-116.80768509482199</v>
      </c>
      <c r="G455" s="15">
        <f t="shared" si="6"/>
        <v>116.80768509482199</v>
      </c>
      <c r="I455" s="21">
        <v>68.609999999986002</v>
      </c>
    </row>
    <row r="456" spans="4:9">
      <c r="D456" s="15" t="s">
        <v>453</v>
      </c>
      <c r="E456" s="21">
        <v>86.100863764730803</v>
      </c>
      <c r="F456" s="15">
        <f>Tabelle1!E455-Hoja1!E456</f>
        <v>-86.8412560647308</v>
      </c>
      <c r="G456" s="15">
        <f t="shared" si="6"/>
        <v>86.8412560647308</v>
      </c>
      <c r="I456" s="21">
        <v>78.790000000037196</v>
      </c>
    </row>
    <row r="457" spans="4:9">
      <c r="D457" s="15" t="s">
        <v>454</v>
      </c>
      <c r="E457" s="21">
        <v>46.022840975637202</v>
      </c>
      <c r="F457" s="15">
        <f>Tabelle1!E456-Hoja1!E457</f>
        <v>-46.763233275637205</v>
      </c>
      <c r="G457" s="15">
        <f t="shared" ref="G457:G520" si="7">ABS(F457)</f>
        <v>46.763233275637205</v>
      </c>
      <c r="I457" s="21">
        <v>65.799999999988302</v>
      </c>
    </row>
    <row r="458" spans="4:9">
      <c r="D458" s="15" t="s">
        <v>455</v>
      </c>
      <c r="E458" s="21">
        <v>23.861923785902299</v>
      </c>
      <c r="F458" s="15">
        <f>Tabelle1!E457-Hoja1!E458</f>
        <v>-24.5118889559023</v>
      </c>
      <c r="G458" s="15">
        <f t="shared" si="7"/>
        <v>24.5118889559023</v>
      </c>
      <c r="I458" s="21">
        <v>18.039999999978999</v>
      </c>
    </row>
    <row r="459" spans="4:9">
      <c r="D459" s="15" t="s">
        <v>456</v>
      </c>
      <c r="E459" s="21">
        <v>11.918763392502999</v>
      </c>
      <c r="F459" s="15">
        <f>Tabelle1!E458-Hoja1!E459</f>
        <v>-12.166242552502998</v>
      </c>
      <c r="G459" s="15">
        <f t="shared" si="7"/>
        <v>12.166242552502998</v>
      </c>
      <c r="I459" s="21">
        <v>1.92999999999301</v>
      </c>
    </row>
    <row r="460" spans="4:9">
      <c r="D460" s="15" t="s">
        <v>457</v>
      </c>
      <c r="E460" s="21">
        <v>5.6919286169433301</v>
      </c>
      <c r="F460" s="15">
        <f>Tabelle1!E459-Hoja1!E460</f>
        <v>-5.70224128294333</v>
      </c>
      <c r="G460" s="15">
        <f t="shared" si="7"/>
        <v>5.70224128294333</v>
      </c>
      <c r="I460" s="21">
        <v>5.0000000046566101E-2</v>
      </c>
    </row>
    <row r="461" spans="4:9">
      <c r="D461" s="15" t="s">
        <v>458</v>
      </c>
      <c r="E461" s="21">
        <v>0</v>
      </c>
      <c r="F461" s="15">
        <f>Tabelle1!E460-Hoja1!E461</f>
        <v>0.156024</v>
      </c>
      <c r="G461" s="15">
        <f t="shared" si="7"/>
        <v>0.156024</v>
      </c>
      <c r="I461" s="21">
        <v>0</v>
      </c>
    </row>
    <row r="462" spans="4:9">
      <c r="D462" s="15" t="s">
        <v>459</v>
      </c>
      <c r="E462" s="21">
        <v>0</v>
      </c>
      <c r="F462" s="15">
        <f>Tabelle1!E461-Hoja1!E462</f>
        <v>0.16448146</v>
      </c>
      <c r="G462" s="15">
        <f t="shared" si="7"/>
        <v>0.16448146</v>
      </c>
      <c r="I462" s="21">
        <v>0</v>
      </c>
    </row>
    <row r="463" spans="4:9">
      <c r="D463" s="15" t="s">
        <v>460</v>
      </c>
      <c r="E463" s="21">
        <v>0</v>
      </c>
      <c r="F463" s="15">
        <f>Tabelle1!E462-Hoja1!E463</f>
        <v>0.16448146</v>
      </c>
      <c r="G463" s="15">
        <f t="shared" si="7"/>
        <v>0.16448146</v>
      </c>
      <c r="I463" s="21">
        <v>0</v>
      </c>
    </row>
    <row r="464" spans="4:9">
      <c r="D464" s="15" t="s">
        <v>461</v>
      </c>
      <c r="E464" s="21">
        <v>0</v>
      </c>
      <c r="F464" s="15">
        <f>Tabelle1!E463-Hoja1!E464</f>
        <v>0.10339576</v>
      </c>
      <c r="G464" s="15">
        <f t="shared" si="7"/>
        <v>0.10339576</v>
      </c>
      <c r="I464" s="21">
        <v>0</v>
      </c>
    </row>
    <row r="465" spans="4:9">
      <c r="D465" s="15" t="s">
        <v>462</v>
      </c>
      <c r="E465" s="21">
        <v>0</v>
      </c>
      <c r="F465" s="15">
        <f>Tabelle1!E464-Hoja1!E465</f>
        <v>0.10339576</v>
      </c>
      <c r="G465" s="15">
        <f t="shared" si="7"/>
        <v>0.10339576</v>
      </c>
      <c r="I465" s="21">
        <v>0</v>
      </c>
    </row>
    <row r="466" spans="4:9">
      <c r="D466" s="15" t="s">
        <v>463</v>
      </c>
      <c r="E466" s="21">
        <v>0</v>
      </c>
      <c r="F466" s="15">
        <f>Tabelle1!E465-Hoja1!E466</f>
        <v>0.10339576</v>
      </c>
      <c r="G466" s="15">
        <f t="shared" si="7"/>
        <v>0.10339576</v>
      </c>
      <c r="I466" s="21">
        <v>0</v>
      </c>
    </row>
    <row r="467" spans="4:9">
      <c r="D467" s="15" t="s">
        <v>464</v>
      </c>
      <c r="E467" s="21">
        <v>0</v>
      </c>
      <c r="F467" s="15">
        <f>Tabelle1!E466-Hoja1!E467</f>
        <v>0.10339576</v>
      </c>
      <c r="G467" s="15">
        <f t="shared" si="7"/>
        <v>0.10339576</v>
      </c>
      <c r="I467" s="21">
        <v>0</v>
      </c>
    </row>
    <row r="468" spans="4:9">
      <c r="D468" s="15" t="s">
        <v>465</v>
      </c>
      <c r="E468" s="21">
        <v>0</v>
      </c>
      <c r="F468" s="15">
        <f>Tabelle1!E467-Hoja1!E468</f>
        <v>0.10339576</v>
      </c>
      <c r="G468" s="15">
        <f t="shared" si="7"/>
        <v>0.10339576</v>
      </c>
      <c r="I468" s="21">
        <v>0</v>
      </c>
    </row>
    <row r="469" spans="4:9">
      <c r="D469" s="15" t="s">
        <v>466</v>
      </c>
      <c r="E469" s="21">
        <v>0</v>
      </c>
      <c r="F469" s="15">
        <f>Tabelle1!E468-Hoja1!E469</f>
        <v>0.10339576</v>
      </c>
      <c r="G469" s="15">
        <f t="shared" si="7"/>
        <v>0.10339576</v>
      </c>
      <c r="I469" s="21">
        <v>0</v>
      </c>
    </row>
    <row r="470" spans="4:9">
      <c r="D470" s="15" t="s">
        <v>467</v>
      </c>
      <c r="E470" s="21">
        <v>0</v>
      </c>
      <c r="F470" s="15">
        <f>Tabelle1!E469-Hoja1!E470</f>
        <v>0.10339576</v>
      </c>
      <c r="G470" s="15">
        <f t="shared" si="7"/>
        <v>0.10339576</v>
      </c>
      <c r="I470" s="21">
        <v>0</v>
      </c>
    </row>
    <row r="471" spans="4:9">
      <c r="D471" s="15" t="s">
        <v>468</v>
      </c>
      <c r="E471" s="21">
        <v>0</v>
      </c>
      <c r="F471" s="15">
        <f>Tabelle1!E470-Hoja1!E471</f>
        <v>0.10339576</v>
      </c>
      <c r="G471" s="15">
        <f t="shared" si="7"/>
        <v>0.10339576</v>
      </c>
      <c r="I471" s="21">
        <v>0</v>
      </c>
    </row>
    <row r="472" spans="4:9">
      <c r="D472" s="15" t="s">
        <v>469</v>
      </c>
      <c r="E472" s="21">
        <v>0</v>
      </c>
      <c r="F472" s="15">
        <f>Tabelle1!E471-Hoja1!E472</f>
        <v>0.10339576</v>
      </c>
      <c r="G472" s="15">
        <f t="shared" si="7"/>
        <v>0.10339576</v>
      </c>
      <c r="I472" s="21">
        <v>0</v>
      </c>
    </row>
    <row r="473" spans="4:9">
      <c r="D473" s="15" t="s">
        <v>470</v>
      </c>
      <c r="E473" s="21">
        <v>4.8142548033733297</v>
      </c>
      <c r="F473" s="15">
        <f>Tabelle1!E472-Hoja1!E473</f>
        <v>-4.6214346133733297</v>
      </c>
      <c r="G473" s="15">
        <f t="shared" si="7"/>
        <v>4.6214346133733297</v>
      </c>
      <c r="I473" s="21">
        <v>2.0099999999510998</v>
      </c>
    </row>
    <row r="474" spans="4:9">
      <c r="D474" s="15" t="s">
        <v>471</v>
      </c>
      <c r="E474" s="21">
        <v>22.793130864592101</v>
      </c>
      <c r="F474" s="15">
        <f>Tabelle1!E473-Hoja1!E474</f>
        <v>-23.074587064592102</v>
      </c>
      <c r="G474" s="15">
        <f t="shared" si="7"/>
        <v>23.074587064592102</v>
      </c>
      <c r="I474" s="21">
        <v>7.7700000000186202</v>
      </c>
    </row>
    <row r="475" spans="4:9">
      <c r="D475" s="15" t="s">
        <v>472</v>
      </c>
      <c r="E475" s="21">
        <v>70.312167197187804</v>
      </c>
      <c r="F475" s="15">
        <f>Tabelle1!E474-Hoja1!E475</f>
        <v>-70.978226197187809</v>
      </c>
      <c r="G475" s="15">
        <f t="shared" si="7"/>
        <v>70.978226197187809</v>
      </c>
      <c r="I475" s="21">
        <v>14.5</v>
      </c>
    </row>
    <row r="476" spans="4:9">
      <c r="D476" s="15" t="s">
        <v>473</v>
      </c>
      <c r="E476" s="21">
        <v>73.898366771591895</v>
      </c>
      <c r="F476" s="15">
        <f>Tabelle1!E475-Hoja1!E476</f>
        <v>-74.5644257715919</v>
      </c>
      <c r="G476" s="15">
        <f t="shared" si="7"/>
        <v>74.5644257715919</v>
      </c>
      <c r="I476" s="21">
        <v>21.510000000009299</v>
      </c>
    </row>
    <row r="477" spans="4:9">
      <c r="D477" s="15" t="s">
        <v>474</v>
      </c>
      <c r="E477" s="21">
        <v>77.215463592701497</v>
      </c>
      <c r="F477" s="15">
        <f>Tabelle1!E476-Hoja1!E477</f>
        <v>-77.881522592701501</v>
      </c>
      <c r="G477" s="15">
        <f t="shared" si="7"/>
        <v>77.881522592701501</v>
      </c>
      <c r="I477" s="21">
        <v>64.719999999972003</v>
      </c>
    </row>
    <row r="478" spans="4:9">
      <c r="D478" s="15" t="s">
        <v>475</v>
      </c>
      <c r="E478" s="21">
        <v>107.728828229561</v>
      </c>
      <c r="F478" s="15">
        <f>Tabelle1!E477-Hoja1!E478</f>
        <v>-108.39488722956101</v>
      </c>
      <c r="G478" s="15">
        <f t="shared" si="7"/>
        <v>108.39488722956101</v>
      </c>
      <c r="I478" s="21">
        <v>78.670000000041895</v>
      </c>
    </row>
    <row r="479" spans="4:9">
      <c r="D479" s="15" t="s">
        <v>476</v>
      </c>
      <c r="E479" s="21">
        <v>117.79783836722299</v>
      </c>
      <c r="F479" s="15">
        <f>Tabelle1!E478-Hoja1!E479</f>
        <v>-118.463897367223</v>
      </c>
      <c r="G479" s="15">
        <f t="shared" si="7"/>
        <v>118.463897367223</v>
      </c>
      <c r="I479" s="21">
        <v>82.849999999976703</v>
      </c>
    </row>
    <row r="480" spans="4:9">
      <c r="D480" s="15" t="s">
        <v>477</v>
      </c>
      <c r="E480" s="21">
        <v>100.975158535124</v>
      </c>
      <c r="F480" s="15">
        <f>Tabelle1!E479-Hoja1!E480</f>
        <v>-101.641217535124</v>
      </c>
      <c r="G480" s="15">
        <f t="shared" si="7"/>
        <v>101.641217535124</v>
      </c>
      <c r="I480" s="21">
        <v>83.599999999976703</v>
      </c>
    </row>
    <row r="481" spans="4:9">
      <c r="D481" s="15" t="s">
        <v>478</v>
      </c>
      <c r="E481" s="21">
        <v>29.220178093075599</v>
      </c>
      <c r="F481" s="15">
        <f>Tabelle1!E480-Hoja1!E481</f>
        <v>-29.8862370930756</v>
      </c>
      <c r="G481" s="15">
        <f t="shared" si="7"/>
        <v>29.8862370930756</v>
      </c>
      <c r="I481" s="21">
        <v>41.140000000013899</v>
      </c>
    </row>
    <row r="482" spans="4:9">
      <c r="D482" s="15" t="s">
        <v>479</v>
      </c>
      <c r="E482" s="21">
        <v>24.690282487860198</v>
      </c>
      <c r="F482" s="15">
        <f>Tabelle1!E481-Hoja1!E482</f>
        <v>-25.2659143478602</v>
      </c>
      <c r="G482" s="15">
        <f t="shared" si="7"/>
        <v>25.2659143478602</v>
      </c>
      <c r="I482" s="21">
        <v>33.8800000000046</v>
      </c>
    </row>
    <row r="483" spans="4:9">
      <c r="D483" s="15" t="s">
        <v>480</v>
      </c>
      <c r="E483" s="21">
        <v>14.508948800963999</v>
      </c>
      <c r="F483" s="15">
        <f>Tabelle1!E482-Hoja1!E483</f>
        <v>-14.682094700963999</v>
      </c>
      <c r="G483" s="15">
        <f t="shared" si="7"/>
        <v>14.682094700963999</v>
      </c>
      <c r="I483" s="21">
        <v>16.929999999993001</v>
      </c>
    </row>
    <row r="484" spans="4:9">
      <c r="D484" s="15" t="s">
        <v>481</v>
      </c>
      <c r="E484" s="21">
        <v>4.15717901149615</v>
      </c>
      <c r="F484" s="15">
        <f>Tabelle1!E483-Hoja1!E484</f>
        <v>-4.0931584674961501</v>
      </c>
      <c r="G484" s="15">
        <f t="shared" si="7"/>
        <v>4.0931584674961501</v>
      </c>
      <c r="I484" s="21">
        <v>7.72000000003026</v>
      </c>
    </row>
    <row r="485" spans="4:9">
      <c r="D485" s="15" t="s">
        <v>482</v>
      </c>
      <c r="E485" s="21">
        <v>0</v>
      </c>
      <c r="F485" s="15">
        <f>Tabelle1!E484-Hoja1!E485</f>
        <v>0.17871587</v>
      </c>
      <c r="G485" s="15">
        <f t="shared" si="7"/>
        <v>0.17871587</v>
      </c>
      <c r="I485" s="21">
        <v>0.130000000004656</v>
      </c>
    </row>
    <row r="486" spans="4:9">
      <c r="D486" s="15" t="s">
        <v>483</v>
      </c>
      <c r="E486" s="21">
        <v>0</v>
      </c>
      <c r="F486" s="15">
        <f>Tabelle1!E485-Hoja1!E486</f>
        <v>0.18717333999999999</v>
      </c>
      <c r="G486" s="15">
        <f t="shared" si="7"/>
        <v>0.18717333999999999</v>
      </c>
      <c r="I486" s="21">
        <v>0</v>
      </c>
    </row>
    <row r="487" spans="4:9">
      <c r="D487" s="15" t="s">
        <v>484</v>
      </c>
      <c r="E487" s="21">
        <v>0</v>
      </c>
      <c r="F487" s="15">
        <f>Tabelle1!E486-Hoja1!E487</f>
        <v>0.18717333999999999</v>
      </c>
      <c r="G487" s="15">
        <f t="shared" si="7"/>
        <v>0.18717333999999999</v>
      </c>
      <c r="I487" s="21">
        <v>0</v>
      </c>
    </row>
    <row r="488" spans="4:9">
      <c r="D488" s="15" t="s">
        <v>485</v>
      </c>
      <c r="E488" s="21">
        <v>0</v>
      </c>
      <c r="F488" s="15">
        <f>Tabelle1!E487-Hoja1!E488</f>
        <v>0.10352066</v>
      </c>
      <c r="G488" s="15">
        <f t="shared" si="7"/>
        <v>0.10352066</v>
      </c>
      <c r="I488" s="21">
        <v>0</v>
      </c>
    </row>
    <row r="489" spans="4:9">
      <c r="D489" s="15" t="s">
        <v>486</v>
      </c>
      <c r="E489" s="21">
        <v>0</v>
      </c>
      <c r="F489" s="15">
        <f>Tabelle1!E488-Hoja1!E489</f>
        <v>0.10352066</v>
      </c>
      <c r="G489" s="15">
        <f t="shared" si="7"/>
        <v>0.10352066</v>
      </c>
      <c r="I489" s="21">
        <v>0</v>
      </c>
    </row>
    <row r="490" spans="4:9">
      <c r="D490" s="15" t="s">
        <v>487</v>
      </c>
      <c r="E490" s="21">
        <v>0</v>
      </c>
      <c r="F490" s="15">
        <f>Tabelle1!E489-Hoja1!E490</f>
        <v>0.10352066</v>
      </c>
      <c r="G490" s="15">
        <f t="shared" si="7"/>
        <v>0.10352066</v>
      </c>
      <c r="I490" s="21">
        <v>0</v>
      </c>
    </row>
    <row r="491" spans="4:9">
      <c r="D491" s="15" t="s">
        <v>488</v>
      </c>
      <c r="E491" s="21">
        <v>0</v>
      </c>
      <c r="F491" s="15">
        <f>Tabelle1!E490-Hoja1!E491</f>
        <v>0.10352066</v>
      </c>
      <c r="G491" s="15">
        <f t="shared" si="7"/>
        <v>0.10352066</v>
      </c>
      <c r="I491" s="21">
        <v>0</v>
      </c>
    </row>
    <row r="492" spans="4:9">
      <c r="D492" s="15" t="s">
        <v>489</v>
      </c>
      <c r="E492" s="21">
        <v>0</v>
      </c>
      <c r="F492" s="15">
        <f>Tabelle1!E491-Hoja1!E492</f>
        <v>0.10352066</v>
      </c>
      <c r="G492" s="15">
        <f t="shared" si="7"/>
        <v>0.10352066</v>
      </c>
      <c r="I492" s="21">
        <v>0</v>
      </c>
    </row>
    <row r="493" spans="4:9">
      <c r="D493" s="15" t="s">
        <v>490</v>
      </c>
      <c r="E493" s="21">
        <v>0</v>
      </c>
      <c r="F493" s="15">
        <f>Tabelle1!E492-Hoja1!E493</f>
        <v>0.10352066</v>
      </c>
      <c r="G493" s="15">
        <f t="shared" si="7"/>
        <v>0.10352066</v>
      </c>
      <c r="I493" s="21">
        <v>0</v>
      </c>
    </row>
    <row r="494" spans="4:9">
      <c r="D494" s="15" t="s">
        <v>491</v>
      </c>
      <c r="E494" s="21">
        <v>0</v>
      </c>
      <c r="F494" s="15">
        <f>Tabelle1!E493-Hoja1!E494</f>
        <v>0.10352066</v>
      </c>
      <c r="G494" s="15">
        <f t="shared" si="7"/>
        <v>0.10352066</v>
      </c>
      <c r="I494" s="21">
        <v>0</v>
      </c>
    </row>
    <row r="495" spans="4:9">
      <c r="D495" s="15" t="s">
        <v>492</v>
      </c>
      <c r="E495" s="21">
        <v>0</v>
      </c>
      <c r="F495" s="15">
        <f>Tabelle1!E494-Hoja1!E495</f>
        <v>0.10352066</v>
      </c>
      <c r="G495" s="15">
        <f t="shared" si="7"/>
        <v>0.10352066</v>
      </c>
      <c r="I495" s="21">
        <v>0</v>
      </c>
    </row>
    <row r="496" spans="4:9">
      <c r="D496" s="15" t="s">
        <v>493</v>
      </c>
      <c r="E496" s="21">
        <v>0</v>
      </c>
      <c r="F496" s="15">
        <f>Tabelle1!E495-Hoja1!E496</f>
        <v>0.10352066</v>
      </c>
      <c r="G496" s="15">
        <f t="shared" si="7"/>
        <v>0.10352066</v>
      </c>
      <c r="I496" s="21">
        <v>4.9999999988358398E-2</v>
      </c>
    </row>
    <row r="497" spans="4:9">
      <c r="D497" s="15" t="s">
        <v>494</v>
      </c>
      <c r="E497" s="21">
        <v>2.4091551538134199</v>
      </c>
      <c r="F497" s="15">
        <f>Tabelle1!E496-Hoja1!E497</f>
        <v>-2.2162100538134197</v>
      </c>
      <c r="G497" s="15">
        <f t="shared" si="7"/>
        <v>2.2162100538134197</v>
      </c>
      <c r="I497" s="21">
        <v>3.8499999999767098</v>
      </c>
    </row>
    <row r="498" spans="4:9">
      <c r="D498" s="15" t="s">
        <v>495</v>
      </c>
      <c r="E498" s="21">
        <v>12.837818220179701</v>
      </c>
      <c r="F498" s="15">
        <f>Tabelle1!E497-Hoja1!E498</f>
        <v>-13.031249390179701</v>
      </c>
      <c r="G498" s="15">
        <f t="shared" si="7"/>
        <v>13.031249390179701</v>
      </c>
      <c r="I498" s="21">
        <v>12.4600000000209</v>
      </c>
    </row>
    <row r="499" spans="4:9">
      <c r="D499" s="15" t="s">
        <v>496</v>
      </c>
      <c r="E499" s="21">
        <v>14.100654595727599</v>
      </c>
      <c r="F499" s="15">
        <f>Tabelle1!E498-Hoja1!E499</f>
        <v>-14.194072120727599</v>
      </c>
      <c r="G499" s="15">
        <f t="shared" si="7"/>
        <v>14.194072120727599</v>
      </c>
      <c r="I499" s="21">
        <v>11.039999999979001</v>
      </c>
    </row>
    <row r="500" spans="4:9">
      <c r="D500" s="15" t="s">
        <v>497</v>
      </c>
      <c r="E500" s="21">
        <v>16.7528143745871</v>
      </c>
      <c r="F500" s="15">
        <f>Tabelle1!E499-Hoja1!E500</f>
        <v>-16.846231899587099</v>
      </c>
      <c r="G500" s="15">
        <f t="shared" si="7"/>
        <v>16.846231899587099</v>
      </c>
      <c r="I500" s="21">
        <v>17.3200000000069</v>
      </c>
    </row>
    <row r="501" spans="4:9">
      <c r="D501" s="15" t="s">
        <v>498</v>
      </c>
      <c r="E501" s="21">
        <v>90.527608007649903</v>
      </c>
      <c r="F501" s="15">
        <f>Tabelle1!E500-Hoja1!E501</f>
        <v>-90.621025532649909</v>
      </c>
      <c r="G501" s="15">
        <f t="shared" si="7"/>
        <v>90.621025532649909</v>
      </c>
      <c r="I501" s="21">
        <v>22.830000000016199</v>
      </c>
    </row>
    <row r="502" spans="4:9">
      <c r="D502" s="15" t="s">
        <v>499</v>
      </c>
      <c r="E502" s="21">
        <v>18.1566827619076</v>
      </c>
      <c r="F502" s="15">
        <f>Tabelle1!E501-Hoja1!E502</f>
        <v>-18.2501002869076</v>
      </c>
      <c r="G502" s="15">
        <f t="shared" si="7"/>
        <v>18.2501002869076</v>
      </c>
      <c r="I502" s="21">
        <v>17.0299999999697</v>
      </c>
    </row>
    <row r="503" spans="4:9">
      <c r="D503" s="15" t="s">
        <v>500</v>
      </c>
      <c r="E503" s="21">
        <v>15.1955162896631</v>
      </c>
      <c r="F503" s="15">
        <f>Tabelle1!E502-Hoja1!E503</f>
        <v>-15.2889338146631</v>
      </c>
      <c r="G503" s="15">
        <f t="shared" si="7"/>
        <v>15.2889338146631</v>
      </c>
      <c r="I503" s="21">
        <v>86.200000000011599</v>
      </c>
    </row>
    <row r="504" spans="4:9">
      <c r="D504" s="15" t="s">
        <v>501</v>
      </c>
      <c r="E504" s="21">
        <v>65.801116330227302</v>
      </c>
      <c r="F504" s="15">
        <f>Tabelle1!E503-Hoja1!E504</f>
        <v>-65.894533855227309</v>
      </c>
      <c r="G504" s="15">
        <f t="shared" si="7"/>
        <v>65.894533855227309</v>
      </c>
      <c r="I504" s="21">
        <v>67.090000000025597</v>
      </c>
    </row>
    <row r="505" spans="4:9">
      <c r="D505" s="15" t="s">
        <v>502</v>
      </c>
      <c r="E505" s="21">
        <v>69.275722923811102</v>
      </c>
      <c r="F505" s="15">
        <f>Tabelle1!E504-Hoja1!E505</f>
        <v>-69.369140448811109</v>
      </c>
      <c r="G505" s="15">
        <f t="shared" si="7"/>
        <v>69.369140448811109</v>
      </c>
      <c r="I505" s="21">
        <v>10.649999999965001</v>
      </c>
    </row>
    <row r="506" spans="4:9">
      <c r="D506" s="15" t="s">
        <v>503</v>
      </c>
      <c r="E506" s="21">
        <v>19.633653777484099</v>
      </c>
      <c r="F506" s="15">
        <f>Tabelle1!E505-Hoja1!E506</f>
        <v>-19.6891182574841</v>
      </c>
      <c r="G506" s="15">
        <f t="shared" si="7"/>
        <v>19.6891182574841</v>
      </c>
      <c r="I506" s="21">
        <v>12.3300000000162</v>
      </c>
    </row>
    <row r="507" spans="4:9">
      <c r="D507" s="15" t="s">
        <v>504</v>
      </c>
      <c r="E507" s="21">
        <v>19.766592528022301</v>
      </c>
      <c r="F507" s="15">
        <f>Tabelle1!E506-Hoja1!E507</f>
        <v>-19.590332088022301</v>
      </c>
      <c r="G507" s="15">
        <f t="shared" si="7"/>
        <v>19.590332088022301</v>
      </c>
      <c r="I507" s="21">
        <v>19.429999999993001</v>
      </c>
    </row>
    <row r="508" spans="4:9">
      <c r="D508" s="15" t="s">
        <v>505</v>
      </c>
      <c r="E508" s="21">
        <v>2.7074744575149099</v>
      </c>
      <c r="F508" s="15">
        <f>Tabelle1!E507-Hoja1!E508</f>
        <v>-2.56349824751491</v>
      </c>
      <c r="G508" s="15">
        <f t="shared" si="7"/>
        <v>2.56349824751491</v>
      </c>
      <c r="I508" s="21">
        <v>7.5499999999883496</v>
      </c>
    </row>
    <row r="509" spans="4:9">
      <c r="D509" s="15" t="s">
        <v>506</v>
      </c>
      <c r="E509" s="21">
        <v>0</v>
      </c>
      <c r="F509" s="15">
        <f>Tabelle1!E508-Hoja1!E509</f>
        <v>0.17884077000000001</v>
      </c>
      <c r="G509" s="15">
        <f t="shared" si="7"/>
        <v>0.17884077000000001</v>
      </c>
      <c r="I509" s="21">
        <v>0.130000000004656</v>
      </c>
    </row>
    <row r="510" spans="4:9">
      <c r="D510" s="15" t="s">
        <v>507</v>
      </c>
      <c r="E510" s="21">
        <v>0</v>
      </c>
      <c r="F510" s="15">
        <f>Tabelle1!E509-Hoja1!E510</f>
        <v>0.18729824</v>
      </c>
      <c r="G510" s="15">
        <f t="shared" si="7"/>
        <v>0.18729824</v>
      </c>
      <c r="I510" s="21">
        <v>0</v>
      </c>
    </row>
    <row r="511" spans="4:9">
      <c r="D511" s="15" t="s">
        <v>508</v>
      </c>
      <c r="E511" s="21">
        <v>0</v>
      </c>
      <c r="F511" s="15">
        <f>Tabelle1!E510-Hoja1!E511</f>
        <v>0.18729824</v>
      </c>
      <c r="G511" s="15">
        <f t="shared" si="7"/>
        <v>0.18729824</v>
      </c>
      <c r="I511" s="21">
        <v>0</v>
      </c>
    </row>
    <row r="512" spans="4:9">
      <c r="D512" s="15" t="s">
        <v>509</v>
      </c>
      <c r="E512" s="21">
        <v>0</v>
      </c>
      <c r="F512" s="15">
        <f>Tabelle1!E511-Hoja1!E512</f>
        <v>0.10352066</v>
      </c>
      <c r="G512" s="15">
        <f t="shared" si="7"/>
        <v>0.10352066</v>
      </c>
      <c r="I512" s="21">
        <v>0</v>
      </c>
    </row>
    <row r="513" spans="4:9">
      <c r="D513" s="15" t="s">
        <v>510</v>
      </c>
      <c r="E513" s="21">
        <v>0</v>
      </c>
      <c r="F513" s="15">
        <f>Tabelle1!E512-Hoja1!E513</f>
        <v>0.10352066</v>
      </c>
      <c r="G513" s="15">
        <f t="shared" si="7"/>
        <v>0.10352066</v>
      </c>
      <c r="I513" s="21">
        <v>0</v>
      </c>
    </row>
    <row r="514" spans="4:9">
      <c r="D514" s="15" t="s">
        <v>511</v>
      </c>
      <c r="E514" s="21">
        <v>0</v>
      </c>
      <c r="F514" s="15">
        <f>Tabelle1!E513-Hoja1!E514</f>
        <v>0.10352066</v>
      </c>
      <c r="G514" s="15">
        <f t="shared" si="7"/>
        <v>0.10352066</v>
      </c>
      <c r="I514" s="21">
        <v>0</v>
      </c>
    </row>
    <row r="515" spans="4:9">
      <c r="D515" s="15" t="s">
        <v>512</v>
      </c>
      <c r="E515" s="21">
        <v>0</v>
      </c>
      <c r="F515" s="15">
        <f>Tabelle1!E514-Hoja1!E515</f>
        <v>0.10352066</v>
      </c>
      <c r="G515" s="15">
        <f t="shared" si="7"/>
        <v>0.10352066</v>
      </c>
      <c r="I515" s="21">
        <v>0</v>
      </c>
    </row>
    <row r="516" spans="4:9">
      <c r="D516" s="15" t="s">
        <v>513</v>
      </c>
      <c r="E516" s="21">
        <v>0</v>
      </c>
      <c r="F516" s="15">
        <f>Tabelle1!E515-Hoja1!E516</f>
        <v>0.10352066</v>
      </c>
      <c r="G516" s="15">
        <f t="shared" si="7"/>
        <v>0.10352066</v>
      </c>
      <c r="I516" s="21">
        <v>0</v>
      </c>
    </row>
    <row r="517" spans="4:9">
      <c r="D517" s="15" t="s">
        <v>514</v>
      </c>
      <c r="E517" s="21">
        <v>0</v>
      </c>
      <c r="F517" s="15">
        <f>Tabelle1!E516-Hoja1!E517</f>
        <v>0.10352066</v>
      </c>
      <c r="G517" s="15">
        <f t="shared" si="7"/>
        <v>0.10352066</v>
      </c>
      <c r="I517" s="21">
        <v>0</v>
      </c>
    </row>
    <row r="518" spans="4:9">
      <c r="D518" s="15" t="s">
        <v>515</v>
      </c>
      <c r="E518" s="21">
        <v>0</v>
      </c>
      <c r="F518" s="15">
        <f>Tabelle1!E517-Hoja1!E518</f>
        <v>0.10352066</v>
      </c>
      <c r="G518" s="15">
        <f t="shared" si="7"/>
        <v>0.10352066</v>
      </c>
      <c r="I518" s="21">
        <v>0</v>
      </c>
    </row>
    <row r="519" spans="4:9">
      <c r="D519" s="15" t="s">
        <v>516</v>
      </c>
      <c r="E519" s="21">
        <v>0</v>
      </c>
      <c r="F519" s="15">
        <f>Tabelle1!E518-Hoja1!E519</f>
        <v>0.10352066</v>
      </c>
      <c r="G519" s="15">
        <f t="shared" si="7"/>
        <v>0.10352066</v>
      </c>
      <c r="I519" s="21">
        <v>0</v>
      </c>
    </row>
    <row r="520" spans="4:9">
      <c r="D520" s="15" t="s">
        <v>517</v>
      </c>
      <c r="E520" s="21">
        <v>0</v>
      </c>
      <c r="F520" s="15">
        <f>Tabelle1!E519-Hoja1!E520</f>
        <v>0.10352066</v>
      </c>
      <c r="G520" s="15">
        <f t="shared" si="7"/>
        <v>0.10352066</v>
      </c>
      <c r="I520" s="21">
        <v>2.0000000018626399E-2</v>
      </c>
    </row>
    <row r="521" spans="4:9">
      <c r="D521" s="15" t="s">
        <v>518</v>
      </c>
      <c r="E521" s="21">
        <v>4.78001648567421</v>
      </c>
      <c r="F521" s="15">
        <f>Tabelle1!E520-Hoja1!E521</f>
        <v>-4.5870713856742098</v>
      </c>
      <c r="G521" s="15">
        <f t="shared" ref="G521:G584" si="8">ABS(F521)</f>
        <v>4.5870713856742098</v>
      </c>
      <c r="I521" s="21">
        <v>3.29999999998835</v>
      </c>
    </row>
    <row r="522" spans="4:9">
      <c r="D522" s="15" t="s">
        <v>519</v>
      </c>
      <c r="E522" s="21">
        <v>21.799559472830701</v>
      </c>
      <c r="F522" s="15">
        <f>Tabelle1!E521-Hoja1!E522</f>
        <v>-21.992990642830701</v>
      </c>
      <c r="G522" s="15">
        <f t="shared" si="8"/>
        <v>21.992990642830701</v>
      </c>
      <c r="I522" s="21">
        <v>20.460000000020901</v>
      </c>
    </row>
    <row r="523" spans="4:9">
      <c r="D523" s="15" t="s">
        <v>520</v>
      </c>
      <c r="E523" s="21">
        <v>72.203094964805999</v>
      </c>
      <c r="F523" s="15">
        <f>Tabelle1!E522-Hoja1!E523</f>
        <v>-72.296512489806005</v>
      </c>
      <c r="G523" s="15">
        <f t="shared" si="8"/>
        <v>72.296512489806005</v>
      </c>
      <c r="I523" s="21">
        <v>11.6900000000023</v>
      </c>
    </row>
    <row r="524" spans="4:9">
      <c r="D524" s="15" t="s">
        <v>521</v>
      </c>
      <c r="E524" s="21">
        <v>104.62803314865</v>
      </c>
      <c r="F524" s="15">
        <f>Tabelle1!E523-Hoja1!E524</f>
        <v>-104.72145067365001</v>
      </c>
      <c r="G524" s="15">
        <f t="shared" si="8"/>
        <v>104.72145067365001</v>
      </c>
      <c r="I524" s="21">
        <v>12.289999999979001</v>
      </c>
    </row>
    <row r="525" spans="4:9">
      <c r="D525" s="15" t="s">
        <v>522</v>
      </c>
      <c r="E525" s="21">
        <v>121.272498677675</v>
      </c>
      <c r="F525" s="15">
        <f>Tabelle1!E524-Hoja1!E525</f>
        <v>-121.36591620267501</v>
      </c>
      <c r="G525" s="15">
        <f t="shared" si="8"/>
        <v>121.36591620267501</v>
      </c>
      <c r="I525" s="21">
        <v>58.030000000027897</v>
      </c>
    </row>
    <row r="526" spans="4:9">
      <c r="D526" s="15" t="s">
        <v>523</v>
      </c>
      <c r="E526" s="21">
        <v>123.32303863897199</v>
      </c>
      <c r="F526" s="15">
        <f>Tabelle1!E525-Hoja1!E526</f>
        <v>-123.416456163972</v>
      </c>
      <c r="G526" s="15">
        <f t="shared" si="8"/>
        <v>123.416456163972</v>
      </c>
      <c r="I526" s="21">
        <v>87.909999999974303</v>
      </c>
    </row>
    <row r="527" spans="4:9">
      <c r="D527" s="15" t="s">
        <v>524</v>
      </c>
      <c r="E527" s="21">
        <v>121.816078887857</v>
      </c>
      <c r="F527" s="15">
        <f>Tabelle1!E526-Hoja1!E527</f>
        <v>-121.90949641285701</v>
      </c>
      <c r="G527" s="15">
        <f t="shared" si="8"/>
        <v>121.90949641285701</v>
      </c>
      <c r="I527" s="21">
        <v>12.059999999997601</v>
      </c>
    </row>
    <row r="528" spans="4:9">
      <c r="D528" s="15" t="s">
        <v>525</v>
      </c>
      <c r="E528" s="21">
        <v>112.45381160009499</v>
      </c>
      <c r="F528" s="15">
        <f>Tabelle1!E527-Hoja1!E528</f>
        <v>-112.547229125095</v>
      </c>
      <c r="G528" s="15">
        <f t="shared" si="8"/>
        <v>112.547229125095</v>
      </c>
      <c r="I528" s="21">
        <v>22.150000000023201</v>
      </c>
    </row>
    <row r="529" spans="4:9">
      <c r="D529" s="15" t="s">
        <v>526</v>
      </c>
      <c r="E529" s="21">
        <v>89.893293657213306</v>
      </c>
      <c r="F529" s="15">
        <f>Tabelle1!E528-Hoja1!E529</f>
        <v>-89.986711182213313</v>
      </c>
      <c r="G529" s="15">
        <f t="shared" si="8"/>
        <v>89.986711182213313</v>
      </c>
      <c r="I529" s="21">
        <v>79.159999999974303</v>
      </c>
    </row>
    <row r="530" spans="4:9">
      <c r="D530" s="15" t="s">
        <v>527</v>
      </c>
      <c r="E530" s="21">
        <v>44.980734278356302</v>
      </c>
      <c r="F530" s="15">
        <f>Tabelle1!E529-Hoja1!E530</f>
        <v>-45.036198758356299</v>
      </c>
      <c r="G530" s="15">
        <f t="shared" si="8"/>
        <v>45.036198758356299</v>
      </c>
      <c r="I530" s="21">
        <v>62.580000000016298</v>
      </c>
    </row>
    <row r="531" spans="4:9">
      <c r="D531" s="15" t="s">
        <v>528</v>
      </c>
      <c r="E531" s="21">
        <v>21.267225472843599</v>
      </c>
      <c r="F531" s="15">
        <f>Tabelle1!E530-Hoja1!E531</f>
        <v>-21.090965032843599</v>
      </c>
      <c r="G531" s="15">
        <f t="shared" si="8"/>
        <v>21.090965032843599</v>
      </c>
      <c r="I531" s="21">
        <v>22.229999999981299</v>
      </c>
    </row>
    <row r="532" spans="4:9">
      <c r="D532" s="15" t="s">
        <v>529</v>
      </c>
      <c r="E532" s="21">
        <v>5.6378789439219696</v>
      </c>
      <c r="F532" s="15">
        <f>Tabelle1!E531-Hoja1!E532</f>
        <v>-5.4939027339219697</v>
      </c>
      <c r="G532" s="15">
        <f t="shared" si="8"/>
        <v>5.4939027339219697</v>
      </c>
      <c r="I532" s="21">
        <v>9.2399999999906797</v>
      </c>
    </row>
    <row r="533" spans="4:9">
      <c r="D533" s="15" t="s">
        <v>530</v>
      </c>
      <c r="E533" s="21">
        <v>0</v>
      </c>
      <c r="F533" s="15">
        <f>Tabelle1!E532-Hoja1!E533</f>
        <v>0.17884077000000001</v>
      </c>
      <c r="G533" s="15">
        <f t="shared" si="8"/>
        <v>0.17884077000000001</v>
      </c>
      <c r="I533" s="21">
        <v>0.119999999995343</v>
      </c>
    </row>
    <row r="534" spans="4:9">
      <c r="D534" s="15" t="s">
        <v>531</v>
      </c>
      <c r="E534" s="21">
        <v>0</v>
      </c>
      <c r="F534" s="15">
        <f>Tabelle1!E533-Hoja1!E534</f>
        <v>0.18729824</v>
      </c>
      <c r="G534" s="15">
        <f t="shared" si="8"/>
        <v>0.18729824</v>
      </c>
      <c r="I534" s="21">
        <v>0</v>
      </c>
    </row>
    <row r="535" spans="4:9">
      <c r="D535" s="15" t="s">
        <v>532</v>
      </c>
      <c r="E535" s="21">
        <v>0</v>
      </c>
      <c r="F535" s="15">
        <f>Tabelle1!E534-Hoja1!E535</f>
        <v>0.18729824</v>
      </c>
      <c r="G535" s="15">
        <f t="shared" si="8"/>
        <v>0.18729824</v>
      </c>
      <c r="I535" s="21">
        <v>0</v>
      </c>
    </row>
    <row r="536" spans="4:9">
      <c r="D536" s="15" t="s">
        <v>533</v>
      </c>
      <c r="E536" s="21">
        <v>0</v>
      </c>
      <c r="F536" s="15">
        <f>Tabelle1!E535-Hoja1!E536</f>
        <v>9.7153210000000004E-2</v>
      </c>
      <c r="G536" s="15">
        <f t="shared" si="8"/>
        <v>9.7153210000000004E-2</v>
      </c>
      <c r="I536" s="21">
        <v>0</v>
      </c>
    </row>
    <row r="537" spans="4:9">
      <c r="D537" s="15" t="s">
        <v>534</v>
      </c>
      <c r="E537" s="21">
        <v>0</v>
      </c>
      <c r="F537" s="15">
        <f>Tabelle1!E536-Hoja1!E537</f>
        <v>9.7153210000000004E-2</v>
      </c>
      <c r="G537" s="15">
        <f t="shared" si="8"/>
        <v>9.7153210000000004E-2</v>
      </c>
      <c r="I537" s="21">
        <v>0</v>
      </c>
    </row>
    <row r="538" spans="4:9">
      <c r="D538" s="15" t="s">
        <v>535</v>
      </c>
      <c r="E538" s="21">
        <v>0</v>
      </c>
      <c r="F538" s="15">
        <f>Tabelle1!E537-Hoja1!E538</f>
        <v>9.7153210000000004E-2</v>
      </c>
      <c r="G538" s="15">
        <f t="shared" si="8"/>
        <v>9.7153210000000004E-2</v>
      </c>
      <c r="I538" s="21">
        <v>0</v>
      </c>
    </row>
    <row r="539" spans="4:9">
      <c r="D539" s="15" t="s">
        <v>536</v>
      </c>
      <c r="E539" s="21">
        <v>0</v>
      </c>
      <c r="F539" s="15">
        <f>Tabelle1!E538-Hoja1!E539</f>
        <v>9.7153210000000004E-2</v>
      </c>
      <c r="G539" s="15">
        <f t="shared" si="8"/>
        <v>9.7153210000000004E-2</v>
      </c>
      <c r="I539" s="21">
        <v>0</v>
      </c>
    </row>
    <row r="540" spans="4:9">
      <c r="D540" s="15" t="s">
        <v>537</v>
      </c>
      <c r="E540" s="21">
        <v>0</v>
      </c>
      <c r="F540" s="15">
        <f>Tabelle1!E539-Hoja1!E540</f>
        <v>9.7153210000000004E-2</v>
      </c>
      <c r="G540" s="15">
        <f t="shared" si="8"/>
        <v>9.7153210000000004E-2</v>
      </c>
      <c r="I540" s="21">
        <v>0</v>
      </c>
    </row>
    <row r="541" spans="4:9">
      <c r="D541" s="15" t="s">
        <v>538</v>
      </c>
      <c r="E541" s="21">
        <v>0</v>
      </c>
      <c r="F541" s="15">
        <f>Tabelle1!E540-Hoja1!E541</f>
        <v>9.7153210000000004E-2</v>
      </c>
      <c r="G541" s="15">
        <f t="shared" si="8"/>
        <v>9.7153210000000004E-2</v>
      </c>
      <c r="I541" s="21">
        <v>0</v>
      </c>
    </row>
    <row r="542" spans="4:9">
      <c r="D542" s="15" t="s">
        <v>539</v>
      </c>
      <c r="E542" s="21">
        <v>0</v>
      </c>
      <c r="F542" s="15">
        <f>Tabelle1!E541-Hoja1!E542</f>
        <v>9.7153210000000004E-2</v>
      </c>
      <c r="G542" s="15">
        <f t="shared" si="8"/>
        <v>9.7153210000000004E-2</v>
      </c>
      <c r="I542" s="21">
        <v>0</v>
      </c>
    </row>
    <row r="543" spans="4:9">
      <c r="D543" s="15" t="s">
        <v>540</v>
      </c>
      <c r="E543" s="21">
        <v>0</v>
      </c>
      <c r="F543" s="15">
        <f>Tabelle1!E542-Hoja1!E543</f>
        <v>9.7153210000000004E-2</v>
      </c>
      <c r="G543" s="15">
        <f t="shared" si="8"/>
        <v>9.7153210000000004E-2</v>
      </c>
      <c r="I543" s="21">
        <v>0</v>
      </c>
    </row>
    <row r="544" spans="4:9">
      <c r="D544" s="15" t="s">
        <v>541</v>
      </c>
      <c r="E544" s="21">
        <v>0</v>
      </c>
      <c r="F544" s="15">
        <f>Tabelle1!E543-Hoja1!E544</f>
        <v>9.7153210000000004E-2</v>
      </c>
      <c r="G544" s="15">
        <f t="shared" si="8"/>
        <v>9.7153210000000004E-2</v>
      </c>
      <c r="I544" s="21">
        <v>0.110000000044237</v>
      </c>
    </row>
    <row r="545" spans="4:9">
      <c r="D545" s="15" t="s">
        <v>542</v>
      </c>
      <c r="E545" s="21">
        <v>4.3321422659623501</v>
      </c>
      <c r="F545" s="15">
        <f>Tabelle1!E544-Hoja1!E545</f>
        <v>-4.1455646359623497</v>
      </c>
      <c r="G545" s="15">
        <f t="shared" si="8"/>
        <v>4.1455646359623497</v>
      </c>
      <c r="I545" s="21">
        <v>4.70999999996274</v>
      </c>
    </row>
    <row r="546" spans="4:9">
      <c r="D546" s="15" t="s">
        <v>543</v>
      </c>
      <c r="E546" s="21">
        <v>32.421430246058499</v>
      </c>
      <c r="F546" s="15">
        <f>Tabelle1!E545-Hoja1!E546</f>
        <v>-32.7607704260585</v>
      </c>
      <c r="G546" s="15">
        <f t="shared" si="8"/>
        <v>32.7607704260585</v>
      </c>
      <c r="I546" s="21">
        <v>32.510000000009299</v>
      </c>
    </row>
    <row r="547" spans="4:9">
      <c r="D547" s="15" t="s">
        <v>544</v>
      </c>
      <c r="E547" s="21">
        <v>77.934784432603394</v>
      </c>
      <c r="F547" s="15">
        <f>Tabelle1!E546-Hoja1!E547</f>
        <v>-78.67151703260339</v>
      </c>
      <c r="G547" s="15">
        <f t="shared" si="8"/>
        <v>78.67151703260339</v>
      </c>
      <c r="I547" s="21">
        <v>74.109999999986002</v>
      </c>
    </row>
    <row r="548" spans="4:9">
      <c r="D548" s="15" t="s">
        <v>545</v>
      </c>
      <c r="E548" s="21">
        <v>110.251420534069</v>
      </c>
      <c r="F548" s="15">
        <f>Tabelle1!E547-Hoja1!E548</f>
        <v>-110.98815313406899</v>
      </c>
      <c r="G548" s="15">
        <f t="shared" si="8"/>
        <v>110.98815313406899</v>
      </c>
      <c r="I548" s="21">
        <v>109.590000000025</v>
      </c>
    </row>
    <row r="549" spans="4:9">
      <c r="D549" s="15" t="s">
        <v>546</v>
      </c>
      <c r="E549" s="21">
        <v>125.704034211935</v>
      </c>
      <c r="F549" s="15">
        <f>Tabelle1!E548-Hoja1!E549</f>
        <v>-126.44076681193499</v>
      </c>
      <c r="G549" s="15">
        <f t="shared" si="8"/>
        <v>126.44076681193499</v>
      </c>
      <c r="I549" s="21">
        <v>128.48999999999</v>
      </c>
    </row>
    <row r="550" spans="4:9">
      <c r="D550" s="15" t="s">
        <v>547</v>
      </c>
      <c r="E550" s="21">
        <v>127.051560930474</v>
      </c>
      <c r="F550" s="15">
        <f>Tabelle1!E549-Hoja1!E550</f>
        <v>-127.78829353047399</v>
      </c>
      <c r="G550" s="15">
        <f t="shared" si="8"/>
        <v>127.78829353047399</v>
      </c>
      <c r="I550" s="21">
        <v>125.429999999993</v>
      </c>
    </row>
    <row r="551" spans="4:9">
      <c r="D551" s="15" t="s">
        <v>548</v>
      </c>
      <c r="E551" s="21">
        <v>125.489798419949</v>
      </c>
      <c r="F551" s="15">
        <f>Tabelle1!E550-Hoja1!E551</f>
        <v>-126.22653101994899</v>
      </c>
      <c r="G551" s="15">
        <f t="shared" si="8"/>
        <v>126.22653101994899</v>
      </c>
      <c r="I551" s="21">
        <v>82.239999999990602</v>
      </c>
    </row>
    <row r="552" spans="4:9">
      <c r="D552" s="15" t="s">
        <v>549</v>
      </c>
      <c r="E552" s="21">
        <v>117.117637536666</v>
      </c>
      <c r="F552" s="15">
        <f>Tabelle1!E551-Hoja1!E552</f>
        <v>-117.85437013666599</v>
      </c>
      <c r="G552" s="15">
        <f t="shared" si="8"/>
        <v>117.85437013666599</v>
      </c>
      <c r="I552" s="21">
        <v>107.330000000016</v>
      </c>
    </row>
    <row r="553" spans="4:9">
      <c r="D553" s="15" t="s">
        <v>550</v>
      </c>
      <c r="E553" s="21">
        <v>102.515594635403</v>
      </c>
      <c r="F553" s="15">
        <f>Tabelle1!E552-Hoja1!E553</f>
        <v>-103.252327235403</v>
      </c>
      <c r="G553" s="15">
        <f t="shared" si="8"/>
        <v>103.252327235403</v>
      </c>
      <c r="I553" s="21">
        <v>96.710000000020898</v>
      </c>
    </row>
    <row r="554" spans="4:9">
      <c r="D554" s="15" t="s">
        <v>551</v>
      </c>
      <c r="E554" s="21">
        <v>69.904376095070106</v>
      </c>
      <c r="F554" s="15">
        <f>Tabelle1!E553-Hoja1!E554</f>
        <v>-70.550681655070107</v>
      </c>
      <c r="G554" s="15">
        <f t="shared" si="8"/>
        <v>70.550681655070107</v>
      </c>
      <c r="I554" s="21">
        <v>84.679999999993001</v>
      </c>
    </row>
    <row r="555" spans="4:9">
      <c r="D555" s="15" t="s">
        <v>552</v>
      </c>
      <c r="E555" s="21">
        <v>34.171959197636703</v>
      </c>
      <c r="F555" s="15">
        <f>Tabelle1!E554-Hoja1!E555</f>
        <v>-34.415778717636705</v>
      </c>
      <c r="G555" s="15">
        <f t="shared" si="8"/>
        <v>34.415778717636705</v>
      </c>
      <c r="I555" s="21">
        <v>40.179999999993001</v>
      </c>
    </row>
    <row r="556" spans="4:9">
      <c r="D556" s="15" t="s">
        <v>553</v>
      </c>
      <c r="E556" s="21">
        <v>10.178405214012001</v>
      </c>
      <c r="F556" s="15">
        <f>Tabelle1!E555-Hoja1!E556</f>
        <v>-10.185058248012</v>
      </c>
      <c r="G556" s="15">
        <f t="shared" si="8"/>
        <v>10.185058248012</v>
      </c>
      <c r="I556" s="21">
        <v>8.0900000000256096</v>
      </c>
    </row>
    <row r="557" spans="4:9">
      <c r="D557" s="15" t="s">
        <v>554</v>
      </c>
      <c r="E557" s="21">
        <v>0</v>
      </c>
      <c r="F557" s="15">
        <f>Tabelle1!E556-Hoja1!E557</f>
        <v>0.15968362999999999</v>
      </c>
      <c r="G557" s="15">
        <f t="shared" si="8"/>
        <v>0.15968362999999999</v>
      </c>
      <c r="I557" s="21">
        <v>7.9999999958090401E-2</v>
      </c>
    </row>
    <row r="558" spans="4:9">
      <c r="D558" s="15" t="s">
        <v>555</v>
      </c>
      <c r="E558" s="21">
        <v>0</v>
      </c>
      <c r="F558" s="15">
        <f>Tabelle1!E557-Hoja1!E558</f>
        <v>0.16814109999999999</v>
      </c>
      <c r="G558" s="15">
        <f t="shared" si="8"/>
        <v>0.16814109999999999</v>
      </c>
      <c r="I558" s="21">
        <v>0</v>
      </c>
    </row>
    <row r="559" spans="4:9">
      <c r="D559" s="15" t="s">
        <v>556</v>
      </c>
      <c r="E559" s="21">
        <v>0</v>
      </c>
      <c r="F559" s="15">
        <f>Tabelle1!E558-Hoja1!E559</f>
        <v>0.16814109999999999</v>
      </c>
      <c r="G559" s="15">
        <f t="shared" si="8"/>
        <v>0.16814109999999999</v>
      </c>
      <c r="I559" s="21">
        <v>0</v>
      </c>
    </row>
    <row r="560" spans="4:9">
      <c r="D560" s="15" t="s">
        <v>557</v>
      </c>
      <c r="E560" s="21">
        <v>0</v>
      </c>
      <c r="F560" s="15">
        <f>Tabelle1!E559-Hoja1!E560</f>
        <v>9.7153210000000004E-2</v>
      </c>
      <c r="G560" s="15">
        <f t="shared" si="8"/>
        <v>9.7153210000000004E-2</v>
      </c>
      <c r="I560" s="21">
        <v>0</v>
      </c>
    </row>
    <row r="561" spans="4:9">
      <c r="D561" s="15" t="s">
        <v>558</v>
      </c>
      <c r="E561" s="21">
        <v>0</v>
      </c>
      <c r="F561" s="15">
        <f>Tabelle1!E560-Hoja1!E561</f>
        <v>9.7153210000000004E-2</v>
      </c>
      <c r="G561" s="15">
        <f t="shared" si="8"/>
        <v>9.7153210000000004E-2</v>
      </c>
      <c r="I561" s="21">
        <v>0</v>
      </c>
    </row>
    <row r="562" spans="4:9">
      <c r="D562" s="15" t="s">
        <v>559</v>
      </c>
      <c r="E562" s="21">
        <v>0</v>
      </c>
      <c r="F562" s="15">
        <f>Tabelle1!E561-Hoja1!E562</f>
        <v>9.7153210000000004E-2</v>
      </c>
      <c r="G562" s="15">
        <f t="shared" si="8"/>
        <v>9.7153210000000004E-2</v>
      </c>
      <c r="I562" s="21">
        <v>0</v>
      </c>
    </row>
    <row r="563" spans="4:9">
      <c r="D563" s="15" t="s">
        <v>560</v>
      </c>
      <c r="E563" s="21">
        <v>0</v>
      </c>
      <c r="F563" s="15">
        <f>Tabelle1!E562-Hoja1!E563</f>
        <v>9.7153210000000004E-2</v>
      </c>
      <c r="G563" s="15">
        <f t="shared" si="8"/>
        <v>9.7153210000000004E-2</v>
      </c>
      <c r="I563" s="21">
        <v>0</v>
      </c>
    </row>
    <row r="564" spans="4:9">
      <c r="D564" s="15" t="s">
        <v>561</v>
      </c>
      <c r="E564" s="21">
        <v>0</v>
      </c>
      <c r="F564" s="15">
        <f>Tabelle1!E563-Hoja1!E564</f>
        <v>9.7153210000000004E-2</v>
      </c>
      <c r="G564" s="15">
        <f t="shared" si="8"/>
        <v>9.7153210000000004E-2</v>
      </c>
      <c r="I564" s="21">
        <v>0</v>
      </c>
    </row>
    <row r="565" spans="4:9">
      <c r="D565" s="15" t="s">
        <v>562</v>
      </c>
      <c r="E565" s="21">
        <v>0</v>
      </c>
      <c r="F565" s="15">
        <f>Tabelle1!E564-Hoja1!E565</f>
        <v>9.7153210000000004E-2</v>
      </c>
      <c r="G565" s="15">
        <f t="shared" si="8"/>
        <v>9.7153210000000004E-2</v>
      </c>
      <c r="I565" s="21">
        <v>0</v>
      </c>
    </row>
    <row r="566" spans="4:9">
      <c r="D566" s="15" t="s">
        <v>563</v>
      </c>
      <c r="E566" s="21">
        <v>0</v>
      </c>
      <c r="F566" s="15">
        <f>Tabelle1!E565-Hoja1!E566</f>
        <v>9.7153210000000004E-2</v>
      </c>
      <c r="G566" s="15">
        <f t="shared" si="8"/>
        <v>9.7153210000000004E-2</v>
      </c>
      <c r="I566" s="21">
        <v>0</v>
      </c>
    </row>
    <row r="567" spans="4:9">
      <c r="D567" s="15" t="s">
        <v>564</v>
      </c>
      <c r="E567" s="21">
        <v>0</v>
      </c>
      <c r="F567" s="15">
        <f>Tabelle1!E566-Hoja1!E567</f>
        <v>9.7153210000000004E-2</v>
      </c>
      <c r="G567" s="15">
        <f t="shared" si="8"/>
        <v>9.7153210000000004E-2</v>
      </c>
      <c r="I567" s="21">
        <v>0</v>
      </c>
    </row>
    <row r="568" spans="4:9">
      <c r="D568" s="15" t="s">
        <v>565</v>
      </c>
      <c r="E568" s="21">
        <v>0</v>
      </c>
      <c r="F568" s="15">
        <f>Tabelle1!E567-Hoja1!E568</f>
        <v>9.7153210000000004E-2</v>
      </c>
      <c r="G568" s="15">
        <f t="shared" si="8"/>
        <v>9.7153210000000004E-2</v>
      </c>
      <c r="I568" s="21">
        <v>4.9999999988358398E-2</v>
      </c>
    </row>
    <row r="569" spans="4:9">
      <c r="D569" s="15" t="s">
        <v>566</v>
      </c>
      <c r="E569" s="21">
        <v>3.6254907930615601</v>
      </c>
      <c r="F569" s="15">
        <f>Tabelle1!E568-Hoja1!E569</f>
        <v>-3.4389131630615601</v>
      </c>
      <c r="G569" s="15">
        <f t="shared" si="8"/>
        <v>3.4389131630615601</v>
      </c>
      <c r="I569" s="21">
        <v>2.8500000000349202</v>
      </c>
    </row>
    <row r="570" spans="4:9">
      <c r="D570" s="15" t="s">
        <v>567</v>
      </c>
      <c r="E570" s="21">
        <v>22.627209996234001</v>
      </c>
      <c r="F570" s="15">
        <f>Tabelle1!E569-Hoja1!E570</f>
        <v>-22.966550176234001</v>
      </c>
      <c r="G570" s="15">
        <f t="shared" si="8"/>
        <v>22.966550176234001</v>
      </c>
      <c r="I570" s="21">
        <v>15.6900000000023</v>
      </c>
    </row>
    <row r="571" spans="4:9">
      <c r="D571" s="15" t="s">
        <v>568</v>
      </c>
      <c r="E571" s="21">
        <v>49.514009137581901</v>
      </c>
      <c r="F571" s="15">
        <f>Tabelle1!E570-Hoja1!E571</f>
        <v>-50.250741737581905</v>
      </c>
      <c r="G571" s="15">
        <f t="shared" si="8"/>
        <v>50.250741737581905</v>
      </c>
      <c r="I571" s="21">
        <v>48.6900000000023</v>
      </c>
    </row>
    <row r="572" spans="4:9">
      <c r="D572" s="15" t="s">
        <v>569</v>
      </c>
      <c r="E572" s="21">
        <v>66.541467129297303</v>
      </c>
      <c r="F572" s="15">
        <f>Tabelle1!E571-Hoja1!E572</f>
        <v>-67.278199729297299</v>
      </c>
      <c r="G572" s="15">
        <f t="shared" si="8"/>
        <v>67.278199729297299</v>
      </c>
      <c r="I572" s="21">
        <v>60.059999999997601</v>
      </c>
    </row>
    <row r="573" spans="4:9">
      <c r="D573" s="15" t="s">
        <v>570</v>
      </c>
      <c r="E573" s="21">
        <v>84.435787351031905</v>
      </c>
      <c r="F573" s="15">
        <f>Tabelle1!E572-Hoja1!E573</f>
        <v>-85.172519951031902</v>
      </c>
      <c r="G573" s="15">
        <f t="shared" si="8"/>
        <v>85.172519951031902</v>
      </c>
      <c r="I573" s="21">
        <v>97.719999999972003</v>
      </c>
    </row>
    <row r="574" spans="4:9">
      <c r="D574" s="15" t="s">
        <v>571</v>
      </c>
      <c r="E574" s="21">
        <v>109.571634792399</v>
      </c>
      <c r="F574" s="15">
        <f>Tabelle1!E573-Hoja1!E574</f>
        <v>-110.30836739239899</v>
      </c>
      <c r="G574" s="15">
        <f t="shared" si="8"/>
        <v>110.30836739239899</v>
      </c>
      <c r="I574" s="21">
        <v>83.239999999990602</v>
      </c>
    </row>
    <row r="575" spans="4:9">
      <c r="D575" s="15" t="s">
        <v>572</v>
      </c>
      <c r="E575" s="21">
        <v>116.378687457336</v>
      </c>
      <c r="F575" s="15">
        <f>Tabelle1!E574-Hoja1!E575</f>
        <v>-117.115420057336</v>
      </c>
      <c r="G575" s="15">
        <f t="shared" si="8"/>
        <v>117.115420057336</v>
      </c>
      <c r="I575" s="21">
        <v>50.700000000011599</v>
      </c>
    </row>
    <row r="576" spans="4:9">
      <c r="D576" s="15" t="s">
        <v>573</v>
      </c>
      <c r="E576" s="21">
        <v>107.88429621062799</v>
      </c>
      <c r="F576" s="15">
        <f>Tabelle1!E575-Hoja1!E576</f>
        <v>-108.62102881062799</v>
      </c>
      <c r="G576" s="15">
        <f t="shared" si="8"/>
        <v>108.62102881062799</v>
      </c>
      <c r="I576" s="21">
        <v>37.200000000011599</v>
      </c>
    </row>
    <row r="577" spans="4:9">
      <c r="D577" s="15" t="s">
        <v>574</v>
      </c>
      <c r="E577" s="21">
        <v>89.864889090665997</v>
      </c>
      <c r="F577" s="15">
        <f>Tabelle1!E576-Hoja1!E577</f>
        <v>-90.601621690665993</v>
      </c>
      <c r="G577" s="15">
        <f t="shared" si="8"/>
        <v>90.601621690665993</v>
      </c>
      <c r="I577" s="21">
        <v>95.619999999995301</v>
      </c>
    </row>
    <row r="578" spans="4:9">
      <c r="D578" s="15" t="s">
        <v>575</v>
      </c>
      <c r="E578" s="21">
        <v>45.234889537955802</v>
      </c>
      <c r="F578" s="15">
        <f>Tabelle1!E577-Hoja1!E578</f>
        <v>-45.881195097955803</v>
      </c>
      <c r="G578" s="15">
        <f t="shared" si="8"/>
        <v>45.881195097955803</v>
      </c>
      <c r="I578" s="21">
        <v>61.119999999995301</v>
      </c>
    </row>
    <row r="579" spans="4:9">
      <c r="D579" s="15" t="s">
        <v>576</v>
      </c>
      <c r="E579" s="21">
        <v>22.532084643744899</v>
      </c>
      <c r="F579" s="15">
        <f>Tabelle1!E578-Hoja1!E579</f>
        <v>-22.775904163744897</v>
      </c>
      <c r="G579" s="15">
        <f t="shared" si="8"/>
        <v>22.775904163744897</v>
      </c>
      <c r="I579" s="21">
        <v>23.7200000000302</v>
      </c>
    </row>
    <row r="580" spans="4:9">
      <c r="D580" s="15" t="s">
        <v>577</v>
      </c>
      <c r="E580" s="21">
        <v>3.7566225024545901</v>
      </c>
      <c r="F580" s="15">
        <f>Tabelle1!E579-Hoja1!E580</f>
        <v>-3.7632755364545902</v>
      </c>
      <c r="G580" s="15">
        <f t="shared" si="8"/>
        <v>3.7632755364545902</v>
      </c>
      <c r="I580" s="21">
        <v>4.1099999999860302</v>
      </c>
    </row>
    <row r="581" spans="4:9">
      <c r="D581" s="15" t="s">
        <v>578</v>
      </c>
      <c r="E581" s="21">
        <v>0</v>
      </c>
      <c r="F581" s="15">
        <f>Tabelle1!E580-Hoja1!E581</f>
        <v>0.15968362999999999</v>
      </c>
      <c r="G581" s="15">
        <f t="shared" si="8"/>
        <v>0.15968362999999999</v>
      </c>
      <c r="I581" s="21">
        <v>2.0000000018626399E-2</v>
      </c>
    </row>
    <row r="582" spans="4:9">
      <c r="D582" s="15" t="s">
        <v>579</v>
      </c>
      <c r="E582" s="21">
        <v>0</v>
      </c>
      <c r="F582" s="15">
        <f>Tabelle1!E581-Hoja1!E582</f>
        <v>0.16814109999999999</v>
      </c>
      <c r="G582" s="15">
        <f t="shared" si="8"/>
        <v>0.16814109999999999</v>
      </c>
      <c r="I582" s="21">
        <v>0</v>
      </c>
    </row>
    <row r="583" spans="4:9">
      <c r="D583" s="15" t="s">
        <v>580</v>
      </c>
      <c r="E583" s="21">
        <v>0</v>
      </c>
      <c r="F583" s="15">
        <f>Tabelle1!E582-Hoja1!E583</f>
        <v>0.16814109999999999</v>
      </c>
      <c r="G583" s="15">
        <f t="shared" si="8"/>
        <v>0.16814109999999999</v>
      </c>
      <c r="I583" s="21">
        <v>0</v>
      </c>
    </row>
    <row r="584" spans="4:9">
      <c r="D584" s="15" t="s">
        <v>581</v>
      </c>
      <c r="E584" s="21">
        <v>0</v>
      </c>
      <c r="F584" s="15">
        <f>Tabelle1!E583-Hoja1!E584</f>
        <v>9.7153210000000004E-2</v>
      </c>
      <c r="G584" s="15">
        <f t="shared" si="8"/>
        <v>9.7153210000000004E-2</v>
      </c>
      <c r="I584" s="21">
        <v>0</v>
      </c>
    </row>
    <row r="585" spans="4:9">
      <c r="D585" s="15" t="s">
        <v>582</v>
      </c>
      <c r="E585" s="21">
        <v>0</v>
      </c>
      <c r="F585" s="15">
        <f>Tabelle1!E584-Hoja1!E585</f>
        <v>9.7153210000000004E-2</v>
      </c>
      <c r="G585" s="15">
        <f t="shared" ref="G585:G648" si="9">ABS(F585)</f>
        <v>9.7153210000000004E-2</v>
      </c>
      <c r="I585" s="21">
        <v>0</v>
      </c>
    </row>
    <row r="586" spans="4:9">
      <c r="D586" s="15" t="s">
        <v>583</v>
      </c>
      <c r="E586" s="21">
        <v>0</v>
      </c>
      <c r="F586" s="15">
        <f>Tabelle1!E585-Hoja1!E586</f>
        <v>9.7153210000000004E-2</v>
      </c>
      <c r="G586" s="15">
        <f t="shared" si="9"/>
        <v>9.7153210000000004E-2</v>
      </c>
      <c r="I586" s="21">
        <v>0</v>
      </c>
    </row>
    <row r="587" spans="4:9">
      <c r="D587" s="15" t="s">
        <v>584</v>
      </c>
      <c r="E587" s="21">
        <v>0</v>
      </c>
      <c r="F587" s="15">
        <f>Tabelle1!E586-Hoja1!E587</f>
        <v>9.7153210000000004E-2</v>
      </c>
      <c r="G587" s="15">
        <f t="shared" si="9"/>
        <v>9.7153210000000004E-2</v>
      </c>
      <c r="I587" s="21">
        <v>0</v>
      </c>
    </row>
    <row r="588" spans="4:9">
      <c r="D588" s="15" t="s">
        <v>585</v>
      </c>
      <c r="E588" s="21">
        <v>0</v>
      </c>
      <c r="F588" s="15">
        <f>Tabelle1!E587-Hoja1!E588</f>
        <v>9.7153210000000004E-2</v>
      </c>
      <c r="G588" s="15">
        <f t="shared" si="9"/>
        <v>9.7153210000000004E-2</v>
      </c>
      <c r="I588" s="21">
        <v>0</v>
      </c>
    </row>
    <row r="589" spans="4:9">
      <c r="D589" s="15" t="s">
        <v>586</v>
      </c>
      <c r="E589" s="21">
        <v>0</v>
      </c>
      <c r="F589" s="15">
        <f>Tabelle1!E588-Hoja1!E589</f>
        <v>9.7153210000000004E-2</v>
      </c>
      <c r="G589" s="15">
        <f t="shared" si="9"/>
        <v>9.7153210000000004E-2</v>
      </c>
      <c r="I589" s="21">
        <v>0</v>
      </c>
    </row>
    <row r="590" spans="4:9">
      <c r="D590" s="15" t="s">
        <v>587</v>
      </c>
      <c r="E590" s="21">
        <v>0</v>
      </c>
      <c r="F590" s="15">
        <f>Tabelle1!E589-Hoja1!E590</f>
        <v>9.7153210000000004E-2</v>
      </c>
      <c r="G590" s="15">
        <f t="shared" si="9"/>
        <v>9.7153210000000004E-2</v>
      </c>
      <c r="I590" s="21">
        <v>0</v>
      </c>
    </row>
    <row r="591" spans="4:9">
      <c r="D591" s="15" t="s">
        <v>588</v>
      </c>
      <c r="E591" s="21">
        <v>0</v>
      </c>
      <c r="F591" s="15">
        <f>Tabelle1!E590-Hoja1!E591</f>
        <v>9.7153210000000004E-2</v>
      </c>
      <c r="G591" s="15">
        <f t="shared" si="9"/>
        <v>9.7153210000000004E-2</v>
      </c>
      <c r="I591" s="21">
        <v>0</v>
      </c>
    </row>
    <row r="592" spans="4:9">
      <c r="D592" s="15" t="s">
        <v>589</v>
      </c>
      <c r="E592" s="21">
        <v>0</v>
      </c>
      <c r="F592" s="15">
        <f>Tabelle1!E591-Hoja1!E592</f>
        <v>9.7153210000000004E-2</v>
      </c>
      <c r="G592" s="15">
        <f t="shared" si="9"/>
        <v>9.7153210000000004E-2</v>
      </c>
      <c r="I592" s="21">
        <v>0</v>
      </c>
    </row>
    <row r="593" spans="4:9">
      <c r="D593" s="15" t="s">
        <v>590</v>
      </c>
      <c r="E593" s="21">
        <v>1.9949041566616601</v>
      </c>
      <c r="F593" s="15">
        <f>Tabelle1!E592-Hoja1!E593</f>
        <v>-1.8083265266616602</v>
      </c>
      <c r="G593" s="15">
        <f t="shared" si="9"/>
        <v>1.8083265266616602</v>
      </c>
      <c r="I593" s="21">
        <v>2.88000000000465</v>
      </c>
    </row>
    <row r="594" spans="4:9">
      <c r="D594" s="15" t="s">
        <v>591</v>
      </c>
      <c r="E594" s="21">
        <v>17.7957259119338</v>
      </c>
      <c r="F594" s="15">
        <f>Tabelle1!E593-Hoja1!E594</f>
        <v>-18.135066091933801</v>
      </c>
      <c r="G594" s="15">
        <f t="shared" si="9"/>
        <v>18.135066091933801</v>
      </c>
      <c r="I594" s="21">
        <v>17.469999999972</v>
      </c>
    </row>
    <row r="595" spans="4:9">
      <c r="D595" s="15" t="s">
        <v>592</v>
      </c>
      <c r="E595" s="21">
        <v>28.387018367887201</v>
      </c>
      <c r="F595" s="15">
        <f>Tabelle1!E594-Hoja1!E595</f>
        <v>-29.123750967887201</v>
      </c>
      <c r="G595" s="15">
        <f t="shared" si="9"/>
        <v>29.123750967887201</v>
      </c>
      <c r="I595" s="21">
        <v>20.780000000027901</v>
      </c>
    </row>
    <row r="596" spans="4:9">
      <c r="D596" s="15" t="s">
        <v>593</v>
      </c>
      <c r="E596" s="21">
        <v>26.3619567687089</v>
      </c>
      <c r="F596" s="15">
        <f>Tabelle1!E595-Hoja1!E596</f>
        <v>-27.0986893687089</v>
      </c>
      <c r="G596" s="15">
        <f t="shared" si="9"/>
        <v>27.0986893687089</v>
      </c>
      <c r="I596" s="21">
        <v>39.239999999990602</v>
      </c>
    </row>
    <row r="597" spans="4:9">
      <c r="D597" s="15" t="s">
        <v>594</v>
      </c>
      <c r="E597" s="21">
        <v>30.328023799292801</v>
      </c>
      <c r="F597" s="15">
        <f>Tabelle1!E596-Hoja1!E597</f>
        <v>-31.064756399292801</v>
      </c>
      <c r="G597" s="15">
        <f t="shared" si="9"/>
        <v>31.064756399292801</v>
      </c>
      <c r="I597" s="21">
        <v>78.239999999990602</v>
      </c>
    </row>
    <row r="598" spans="4:9">
      <c r="D598" s="15" t="s">
        <v>595</v>
      </c>
      <c r="E598" s="21">
        <v>27.025203353454401</v>
      </c>
      <c r="F598" s="15">
        <f>Tabelle1!E597-Hoja1!E598</f>
        <v>-27.761935953454401</v>
      </c>
      <c r="G598" s="15">
        <f t="shared" si="9"/>
        <v>27.761935953454401</v>
      </c>
      <c r="I598" s="21">
        <v>60.849999999976703</v>
      </c>
    </row>
    <row r="599" spans="4:9">
      <c r="D599" s="15" t="s">
        <v>596</v>
      </c>
      <c r="E599" s="21">
        <v>24.8613909836331</v>
      </c>
      <c r="F599" s="15">
        <f>Tabelle1!E598-Hoja1!E599</f>
        <v>-25.5981235836331</v>
      </c>
      <c r="G599" s="15">
        <f t="shared" si="9"/>
        <v>25.5981235836331</v>
      </c>
      <c r="I599" s="21">
        <v>62.299999999988302</v>
      </c>
    </row>
    <row r="600" spans="4:9">
      <c r="D600" s="15" t="s">
        <v>597</v>
      </c>
      <c r="E600" s="21">
        <v>71.8856207721403</v>
      </c>
      <c r="F600" s="15">
        <f>Tabelle1!E599-Hoja1!E600</f>
        <v>-72.622353372140296</v>
      </c>
      <c r="G600" s="15">
        <f t="shared" si="9"/>
        <v>72.622353372140296</v>
      </c>
      <c r="I600" s="21">
        <v>40.100000000034903</v>
      </c>
    </row>
    <row r="601" spans="4:9">
      <c r="D601" s="15" t="s">
        <v>598</v>
      </c>
      <c r="E601" s="21">
        <v>29.564478915142701</v>
      </c>
      <c r="F601" s="15">
        <f>Tabelle1!E600-Hoja1!E601</f>
        <v>-30.3012115151427</v>
      </c>
      <c r="G601" s="15">
        <f t="shared" si="9"/>
        <v>30.3012115151427</v>
      </c>
      <c r="I601" s="21">
        <v>67.6900000000023</v>
      </c>
    </row>
    <row r="602" spans="4:9">
      <c r="D602" s="15" t="s">
        <v>599</v>
      </c>
      <c r="E602" s="21">
        <v>48.104225176845702</v>
      </c>
      <c r="F602" s="15">
        <f>Tabelle1!E601-Hoja1!E602</f>
        <v>-48.750530736845704</v>
      </c>
      <c r="G602" s="15">
        <f t="shared" si="9"/>
        <v>48.750530736845704</v>
      </c>
      <c r="I602" s="21">
        <v>66.149999999965004</v>
      </c>
    </row>
    <row r="603" spans="4:9">
      <c r="D603" s="15" t="s">
        <v>600</v>
      </c>
      <c r="E603" s="21">
        <v>18.2410253255164</v>
      </c>
      <c r="F603" s="15">
        <f>Tabelle1!E602-Hoja1!E603</f>
        <v>-18.484844845516399</v>
      </c>
      <c r="G603" s="15">
        <f t="shared" si="9"/>
        <v>18.484844845516399</v>
      </c>
      <c r="I603" s="21">
        <v>35.780000000027897</v>
      </c>
    </row>
    <row r="604" spans="4:9">
      <c r="D604" s="15" t="s">
        <v>601</v>
      </c>
      <c r="E604" s="21">
        <v>2.9202648333987899</v>
      </c>
      <c r="F604" s="15">
        <f>Tabelle1!E603-Hoja1!E604</f>
        <v>-2.9269178673987901</v>
      </c>
      <c r="G604" s="15">
        <f t="shared" si="9"/>
        <v>2.9269178673987901</v>
      </c>
      <c r="I604" s="21">
        <v>6.5</v>
      </c>
    </row>
    <row r="605" spans="4:9">
      <c r="D605" s="15" t="s">
        <v>602</v>
      </c>
      <c r="E605" s="21">
        <v>0</v>
      </c>
      <c r="F605" s="15">
        <f>Tabelle1!E604-Hoja1!E605</f>
        <v>0.15968362999999999</v>
      </c>
      <c r="G605" s="15">
        <f t="shared" si="9"/>
        <v>0.15968362999999999</v>
      </c>
      <c r="I605" s="21">
        <v>0</v>
      </c>
    </row>
    <row r="606" spans="4:9">
      <c r="D606" s="15" t="s">
        <v>603</v>
      </c>
      <c r="E606" s="21">
        <v>0</v>
      </c>
      <c r="F606" s="15">
        <f>Tabelle1!E605-Hoja1!E606</f>
        <v>0.16814109999999999</v>
      </c>
      <c r="G606" s="15">
        <f t="shared" si="9"/>
        <v>0.16814109999999999</v>
      </c>
      <c r="I606" s="21">
        <v>0</v>
      </c>
    </row>
    <row r="607" spans="4:9">
      <c r="D607" s="15" t="s">
        <v>604</v>
      </c>
      <c r="E607" s="21">
        <v>0</v>
      </c>
      <c r="F607" s="15">
        <f>Tabelle1!E606-Hoja1!E607</f>
        <v>0.16814109999999999</v>
      </c>
      <c r="G607" s="15">
        <f t="shared" si="9"/>
        <v>0.16814109999999999</v>
      </c>
      <c r="I607" s="21">
        <v>0</v>
      </c>
    </row>
    <row r="608" spans="4:9">
      <c r="D608" s="15" t="s">
        <v>605</v>
      </c>
      <c r="E608" s="21">
        <v>0</v>
      </c>
      <c r="F608" s="15">
        <f>Tabelle1!E607-Hoja1!E608</f>
        <v>9.7153210000000004E-2</v>
      </c>
      <c r="G608" s="15">
        <f t="shared" si="9"/>
        <v>9.7153210000000004E-2</v>
      </c>
      <c r="I608" s="21">
        <v>0</v>
      </c>
    </row>
    <row r="609" spans="4:9">
      <c r="D609" s="15" t="s">
        <v>606</v>
      </c>
      <c r="E609" s="21">
        <v>0</v>
      </c>
      <c r="F609" s="15">
        <f>Tabelle1!E608-Hoja1!E609</f>
        <v>9.7153210000000004E-2</v>
      </c>
      <c r="G609" s="15">
        <f t="shared" si="9"/>
        <v>9.7153210000000004E-2</v>
      </c>
      <c r="I609" s="21">
        <v>0</v>
      </c>
    </row>
    <row r="610" spans="4:9">
      <c r="D610" s="15" t="s">
        <v>607</v>
      </c>
      <c r="E610" s="21">
        <v>0</v>
      </c>
      <c r="F610" s="15">
        <f>Tabelle1!E609-Hoja1!E610</f>
        <v>9.7153210000000004E-2</v>
      </c>
      <c r="G610" s="15">
        <f t="shared" si="9"/>
        <v>9.7153210000000004E-2</v>
      </c>
      <c r="I610" s="21">
        <v>0</v>
      </c>
    </row>
    <row r="611" spans="4:9">
      <c r="D611" s="15" t="s">
        <v>608</v>
      </c>
      <c r="E611" s="21">
        <v>0</v>
      </c>
      <c r="F611" s="15">
        <f>Tabelle1!E610-Hoja1!E611</f>
        <v>9.7153210000000004E-2</v>
      </c>
      <c r="G611" s="15">
        <f t="shared" si="9"/>
        <v>9.7153210000000004E-2</v>
      </c>
      <c r="I611" s="21">
        <v>0</v>
      </c>
    </row>
    <row r="612" spans="4:9">
      <c r="D612" s="15" t="s">
        <v>609</v>
      </c>
      <c r="E612" s="21">
        <v>0</v>
      </c>
      <c r="F612" s="15">
        <f>Tabelle1!E611-Hoja1!E612</f>
        <v>9.7153210000000004E-2</v>
      </c>
      <c r="G612" s="15">
        <f t="shared" si="9"/>
        <v>9.7153210000000004E-2</v>
      </c>
      <c r="I612" s="21">
        <v>0</v>
      </c>
    </row>
    <row r="613" spans="4:9">
      <c r="D613" s="15" t="s">
        <v>610</v>
      </c>
      <c r="E613" s="21">
        <v>0</v>
      </c>
      <c r="F613" s="15">
        <f>Tabelle1!E612-Hoja1!E613</f>
        <v>9.7153210000000004E-2</v>
      </c>
      <c r="G613" s="15">
        <f t="shared" si="9"/>
        <v>9.7153210000000004E-2</v>
      </c>
      <c r="I613" s="21">
        <v>0</v>
      </c>
    </row>
    <row r="614" spans="4:9">
      <c r="D614" s="15" t="s">
        <v>611</v>
      </c>
      <c r="E614" s="21">
        <v>0</v>
      </c>
      <c r="F614" s="15">
        <f>Tabelle1!E613-Hoja1!E614</f>
        <v>9.7153210000000004E-2</v>
      </c>
      <c r="G614" s="15">
        <f t="shared" si="9"/>
        <v>9.7153210000000004E-2</v>
      </c>
      <c r="I614" s="21">
        <v>0</v>
      </c>
    </row>
    <row r="615" spans="4:9">
      <c r="D615" s="15" t="s">
        <v>612</v>
      </c>
      <c r="E615" s="21">
        <v>0</v>
      </c>
      <c r="F615" s="15">
        <f>Tabelle1!E614-Hoja1!E615</f>
        <v>9.7153210000000004E-2</v>
      </c>
      <c r="G615" s="15">
        <f t="shared" si="9"/>
        <v>9.7153210000000004E-2</v>
      </c>
      <c r="I615" s="21">
        <v>0</v>
      </c>
    </row>
    <row r="616" spans="4:9">
      <c r="D616" s="15" t="s">
        <v>613</v>
      </c>
      <c r="E616" s="21">
        <v>0</v>
      </c>
      <c r="F616" s="15">
        <f>Tabelle1!E615-Hoja1!E616</f>
        <v>9.7153210000000004E-2</v>
      </c>
      <c r="G616" s="15">
        <f t="shared" si="9"/>
        <v>9.7153210000000004E-2</v>
      </c>
      <c r="I616" s="21">
        <v>5.9999999997671603E-2</v>
      </c>
    </row>
    <row r="617" spans="4:9">
      <c r="D617" s="15" t="s">
        <v>614</v>
      </c>
      <c r="E617" s="21">
        <v>2.33585983135282</v>
      </c>
      <c r="F617" s="15">
        <f>Tabelle1!E616-Hoja1!E617</f>
        <v>-2.1492822013528201</v>
      </c>
      <c r="G617" s="15">
        <f t="shared" si="9"/>
        <v>2.1492822013528201</v>
      </c>
      <c r="I617" s="21">
        <v>4.4600000000209503</v>
      </c>
    </row>
    <row r="618" spans="4:9">
      <c r="D618" s="15" t="s">
        <v>615</v>
      </c>
      <c r="E618" s="21">
        <v>21.702414308783801</v>
      </c>
      <c r="F618" s="15">
        <f>Tabelle1!E617-Hoja1!E618</f>
        <v>-22.041754488783802</v>
      </c>
      <c r="G618" s="15">
        <f t="shared" si="9"/>
        <v>22.041754488783802</v>
      </c>
      <c r="I618" s="21">
        <v>38.419999999983702</v>
      </c>
    </row>
    <row r="619" spans="4:9">
      <c r="D619" s="15" t="s">
        <v>616</v>
      </c>
      <c r="E619" s="21">
        <v>70.061123115723404</v>
      </c>
      <c r="F619" s="15">
        <f>Tabelle1!E618-Hoja1!E619</f>
        <v>-70.797855715723401</v>
      </c>
      <c r="G619" s="15">
        <f t="shared" si="9"/>
        <v>70.797855715723401</v>
      </c>
      <c r="I619" s="21">
        <v>82.650000000023198</v>
      </c>
    </row>
    <row r="620" spans="4:9">
      <c r="D620" s="15" t="s">
        <v>617</v>
      </c>
      <c r="E620" s="21">
        <v>94.479692932698001</v>
      </c>
      <c r="F620" s="15">
        <f>Tabelle1!E619-Hoja1!E620</f>
        <v>-95.216425532697997</v>
      </c>
      <c r="G620" s="15">
        <f t="shared" si="9"/>
        <v>95.216425532697997</v>
      </c>
      <c r="I620" s="21">
        <v>63.009999999951098</v>
      </c>
    </row>
    <row r="621" spans="4:9">
      <c r="D621" s="15" t="s">
        <v>618</v>
      </c>
      <c r="E621" s="21">
        <v>120.51635424880401</v>
      </c>
      <c r="F621" s="15">
        <f>Tabelle1!E620-Hoja1!E621</f>
        <v>-121.253086848804</v>
      </c>
      <c r="G621" s="15">
        <f t="shared" si="9"/>
        <v>121.253086848804</v>
      </c>
      <c r="I621" s="21">
        <v>56.520000000018598</v>
      </c>
    </row>
    <row r="622" spans="4:9">
      <c r="D622" s="15" t="s">
        <v>619</v>
      </c>
      <c r="E622" s="21">
        <v>119.778626345167</v>
      </c>
      <c r="F622" s="15">
        <f>Tabelle1!E621-Hoja1!E622</f>
        <v>-120.51535894516699</v>
      </c>
      <c r="G622" s="15">
        <f t="shared" si="9"/>
        <v>120.51535894516699</v>
      </c>
      <c r="I622" s="21">
        <v>34.809999999997601</v>
      </c>
    </row>
    <row r="623" spans="4:9">
      <c r="D623" s="15" t="s">
        <v>620</v>
      </c>
      <c r="E623" s="21">
        <v>71.659669716632905</v>
      </c>
      <c r="F623" s="15">
        <f>Tabelle1!E622-Hoja1!E623</f>
        <v>-72.396402316632901</v>
      </c>
      <c r="G623" s="15">
        <f t="shared" si="9"/>
        <v>72.396402316632901</v>
      </c>
      <c r="I623" s="21">
        <v>89.669999999983702</v>
      </c>
    </row>
    <row r="624" spans="4:9">
      <c r="D624" s="15" t="s">
        <v>621</v>
      </c>
      <c r="E624" s="21">
        <v>28.591591366740001</v>
      </c>
      <c r="F624" s="15">
        <f>Tabelle1!E623-Hoja1!E624</f>
        <v>-29.328323966740001</v>
      </c>
      <c r="G624" s="15">
        <f t="shared" si="9"/>
        <v>29.328323966740001</v>
      </c>
      <c r="I624" s="21">
        <v>119.040000000037</v>
      </c>
    </row>
    <row r="625" spans="4:9">
      <c r="D625" s="15" t="s">
        <v>622</v>
      </c>
      <c r="E625" s="21">
        <v>25.391574319849699</v>
      </c>
      <c r="F625" s="15">
        <f>Tabelle1!E624-Hoja1!E625</f>
        <v>-26.128306919849699</v>
      </c>
      <c r="G625" s="15">
        <f t="shared" si="9"/>
        <v>26.128306919849699</v>
      </c>
      <c r="I625" s="21">
        <v>51.959999999962697</v>
      </c>
    </row>
    <row r="626" spans="4:9">
      <c r="D626" s="15" t="s">
        <v>623</v>
      </c>
      <c r="E626" s="21">
        <v>27.214729128777101</v>
      </c>
      <c r="F626" s="15">
        <f>Tabelle1!E625-Hoja1!E626</f>
        <v>-27.861034688777099</v>
      </c>
      <c r="G626" s="15">
        <f t="shared" si="9"/>
        <v>27.861034688777099</v>
      </c>
      <c r="I626" s="21">
        <v>22.300000000046499</v>
      </c>
    </row>
    <row r="627" spans="4:9">
      <c r="D627" s="15" t="s">
        <v>624</v>
      </c>
      <c r="E627" s="21">
        <v>16.967221867032698</v>
      </c>
      <c r="F627" s="15">
        <f>Tabelle1!E626-Hoja1!E627</f>
        <v>-17.211041387032697</v>
      </c>
      <c r="G627" s="15">
        <f t="shared" si="9"/>
        <v>17.211041387032697</v>
      </c>
      <c r="I627" s="21">
        <v>41.609999999986002</v>
      </c>
    </row>
    <row r="628" spans="4:9">
      <c r="D628" s="15" t="s">
        <v>625</v>
      </c>
      <c r="E628" s="21">
        <v>4.1344087918210004</v>
      </c>
      <c r="F628" s="15">
        <f>Tabelle1!E627-Hoja1!E628</f>
        <v>-4.1410618258210006</v>
      </c>
      <c r="G628" s="15">
        <f t="shared" si="9"/>
        <v>4.1410618258210006</v>
      </c>
      <c r="I628" s="21">
        <v>7.0700000000069796</v>
      </c>
    </row>
    <row r="629" spans="4:9">
      <c r="D629" s="15" t="s">
        <v>626</v>
      </c>
      <c r="E629" s="21">
        <v>0</v>
      </c>
      <c r="F629" s="15">
        <f>Tabelle1!E628-Hoja1!E629</f>
        <v>0.15968362999999999</v>
      </c>
      <c r="G629" s="15">
        <f t="shared" si="9"/>
        <v>0.15968362999999999</v>
      </c>
      <c r="I629" s="21">
        <v>0</v>
      </c>
    </row>
    <row r="630" spans="4:9">
      <c r="D630" s="15" t="s">
        <v>627</v>
      </c>
      <c r="E630" s="21">
        <v>0</v>
      </c>
      <c r="F630" s="15">
        <f>Tabelle1!E629-Hoja1!E630</f>
        <v>0.16814109999999999</v>
      </c>
      <c r="G630" s="15">
        <f t="shared" si="9"/>
        <v>0.16814109999999999</v>
      </c>
      <c r="I630" s="21">
        <v>0</v>
      </c>
    </row>
    <row r="631" spans="4:9">
      <c r="D631" s="15" t="s">
        <v>628</v>
      </c>
      <c r="E631" s="21">
        <v>0</v>
      </c>
      <c r="F631" s="15">
        <f>Tabelle1!E630-Hoja1!E631</f>
        <v>0.16814109999999999</v>
      </c>
      <c r="G631" s="15">
        <f t="shared" si="9"/>
        <v>0.16814109999999999</v>
      </c>
      <c r="I631" s="21">
        <v>0</v>
      </c>
    </row>
    <row r="632" spans="4:9">
      <c r="D632" s="15" t="s">
        <v>629</v>
      </c>
      <c r="E632" s="21">
        <v>0</v>
      </c>
      <c r="F632" s="15">
        <f>Tabelle1!E631-Hoja1!E632</f>
        <v>0.10339576</v>
      </c>
      <c r="G632" s="15">
        <f t="shared" si="9"/>
        <v>0.10339576</v>
      </c>
      <c r="I632" s="21">
        <v>0</v>
      </c>
    </row>
    <row r="633" spans="4:9">
      <c r="D633" s="15" t="s">
        <v>630</v>
      </c>
      <c r="E633" s="21">
        <v>0</v>
      </c>
      <c r="F633" s="15">
        <f>Tabelle1!E632-Hoja1!E633</f>
        <v>0.10339576</v>
      </c>
      <c r="G633" s="15">
        <f t="shared" si="9"/>
        <v>0.10339576</v>
      </c>
      <c r="I633" s="21">
        <v>0</v>
      </c>
    </row>
    <row r="634" spans="4:9">
      <c r="D634" s="15" t="s">
        <v>631</v>
      </c>
      <c r="E634" s="21">
        <v>0</v>
      </c>
      <c r="F634" s="15">
        <f>Tabelle1!E633-Hoja1!E634</f>
        <v>0.10339576</v>
      </c>
      <c r="G634" s="15">
        <f t="shared" si="9"/>
        <v>0.10339576</v>
      </c>
      <c r="I634" s="21">
        <v>0</v>
      </c>
    </row>
    <row r="635" spans="4:9">
      <c r="D635" s="15" t="s">
        <v>632</v>
      </c>
      <c r="E635" s="21">
        <v>0</v>
      </c>
      <c r="F635" s="15">
        <f>Tabelle1!E634-Hoja1!E635</f>
        <v>0.10339576</v>
      </c>
      <c r="G635" s="15">
        <f t="shared" si="9"/>
        <v>0.10339576</v>
      </c>
      <c r="I635" s="21">
        <v>0</v>
      </c>
    </row>
    <row r="636" spans="4:9">
      <c r="D636" s="15" t="s">
        <v>633</v>
      </c>
      <c r="E636" s="21">
        <v>0</v>
      </c>
      <c r="F636" s="15">
        <f>Tabelle1!E635-Hoja1!E636</f>
        <v>0.10339576</v>
      </c>
      <c r="G636" s="15">
        <f t="shared" si="9"/>
        <v>0.10339576</v>
      </c>
      <c r="I636" s="21">
        <v>0</v>
      </c>
    </row>
    <row r="637" spans="4:9">
      <c r="D637" s="15" t="s">
        <v>634</v>
      </c>
      <c r="E637" s="21">
        <v>0</v>
      </c>
      <c r="F637" s="15">
        <f>Tabelle1!E636-Hoja1!E637</f>
        <v>0.10339576</v>
      </c>
      <c r="G637" s="15">
        <f t="shared" si="9"/>
        <v>0.10339576</v>
      </c>
      <c r="I637" s="21">
        <v>0</v>
      </c>
    </row>
    <row r="638" spans="4:9">
      <c r="D638" s="15" t="s">
        <v>635</v>
      </c>
      <c r="E638" s="21">
        <v>0</v>
      </c>
      <c r="F638" s="15">
        <f>Tabelle1!E637-Hoja1!E638</f>
        <v>0.10339576</v>
      </c>
      <c r="G638" s="15">
        <f t="shared" si="9"/>
        <v>0.10339576</v>
      </c>
      <c r="I638" s="21">
        <v>0</v>
      </c>
    </row>
    <row r="639" spans="4:9">
      <c r="D639" s="15" t="s">
        <v>636</v>
      </c>
      <c r="E639" s="21">
        <v>0</v>
      </c>
      <c r="F639" s="15">
        <f>Tabelle1!E638-Hoja1!E639</f>
        <v>0.10339576</v>
      </c>
      <c r="G639" s="15">
        <f t="shared" si="9"/>
        <v>0.10339576</v>
      </c>
      <c r="I639" s="21">
        <v>0</v>
      </c>
    </row>
    <row r="640" spans="4:9">
      <c r="D640" s="15" t="s">
        <v>637</v>
      </c>
      <c r="E640" s="21">
        <v>0</v>
      </c>
      <c r="F640" s="15">
        <f>Tabelle1!E639-Hoja1!E640</f>
        <v>0.10339576</v>
      </c>
      <c r="G640" s="15">
        <f t="shared" si="9"/>
        <v>0.10339576</v>
      </c>
      <c r="I640" s="21">
        <v>3.99999999790452E-2</v>
      </c>
    </row>
    <row r="641" spans="4:9">
      <c r="D641" s="15" t="s">
        <v>638</v>
      </c>
      <c r="E641" s="21">
        <v>4.2920087356038303</v>
      </c>
      <c r="F641" s="15">
        <f>Tabelle1!E640-Hoja1!E641</f>
        <v>-4.0991885456038304</v>
      </c>
      <c r="G641" s="15">
        <f t="shared" si="9"/>
        <v>4.0991885456038304</v>
      </c>
      <c r="I641" s="21">
        <v>3.34000000002561</v>
      </c>
    </row>
    <row r="642" spans="4:9">
      <c r="D642" s="15" t="s">
        <v>639</v>
      </c>
      <c r="E642" s="21">
        <v>34.202903955842103</v>
      </c>
      <c r="F642" s="15">
        <f>Tabelle1!E641-Hoja1!E642</f>
        <v>-34.484360155842104</v>
      </c>
      <c r="G642" s="15">
        <f t="shared" si="9"/>
        <v>34.484360155842104</v>
      </c>
      <c r="I642" s="21">
        <v>32.469999999972003</v>
      </c>
    </row>
    <row r="643" spans="4:9">
      <c r="D643" s="15" t="s">
        <v>640</v>
      </c>
      <c r="E643" s="21">
        <v>79.891307751935102</v>
      </c>
      <c r="F643" s="15">
        <f>Tabelle1!E642-Hoja1!E643</f>
        <v>-80.557366751935106</v>
      </c>
      <c r="G643" s="15">
        <f t="shared" si="9"/>
        <v>80.557366751935106</v>
      </c>
      <c r="I643" s="21">
        <v>87.729999999981302</v>
      </c>
    </row>
    <row r="644" spans="4:9">
      <c r="D644" s="15" t="s">
        <v>641</v>
      </c>
      <c r="E644" s="21">
        <v>114.000441406063</v>
      </c>
      <c r="F644" s="15">
        <f>Tabelle1!E643-Hoja1!E644</f>
        <v>-114.66650040606301</v>
      </c>
      <c r="G644" s="15">
        <f t="shared" si="9"/>
        <v>114.66650040606301</v>
      </c>
      <c r="I644" s="21">
        <v>124.290000000037</v>
      </c>
    </row>
    <row r="645" spans="4:9">
      <c r="D645" s="15" t="s">
        <v>642</v>
      </c>
      <c r="E645" s="21">
        <v>135.50862225249</v>
      </c>
      <c r="F645" s="15">
        <f>Tabelle1!E644-Hoja1!E645</f>
        <v>-136.17468125248999</v>
      </c>
      <c r="G645" s="15">
        <f t="shared" si="9"/>
        <v>136.17468125248999</v>
      </c>
      <c r="I645" s="21">
        <v>135.53999999997899</v>
      </c>
    </row>
    <row r="646" spans="4:9">
      <c r="D646" s="15" t="s">
        <v>643</v>
      </c>
      <c r="E646" s="21">
        <v>133.64413472706201</v>
      </c>
      <c r="F646" s="15">
        <f>Tabelle1!E645-Hoja1!E646</f>
        <v>-134.310193727062</v>
      </c>
      <c r="G646" s="15">
        <f t="shared" si="9"/>
        <v>134.310193727062</v>
      </c>
      <c r="I646" s="21">
        <v>135.07000000000599</v>
      </c>
    </row>
    <row r="647" spans="4:9">
      <c r="D647" s="15" t="s">
        <v>644</v>
      </c>
      <c r="E647" s="21">
        <v>128.90140424071299</v>
      </c>
      <c r="F647" s="15">
        <f>Tabelle1!E646-Hoja1!E647</f>
        <v>-129.56746324071298</v>
      </c>
      <c r="G647" s="15">
        <f t="shared" si="9"/>
        <v>129.56746324071298</v>
      </c>
      <c r="I647" s="21">
        <v>114.119999999995</v>
      </c>
    </row>
    <row r="648" spans="4:9">
      <c r="D648" s="15" t="s">
        <v>645</v>
      </c>
      <c r="E648" s="21">
        <v>120.829414412456</v>
      </c>
      <c r="F648" s="15">
        <f>Tabelle1!E647-Hoja1!E648</f>
        <v>-121.49547341245601</v>
      </c>
      <c r="G648" s="15">
        <f t="shared" si="9"/>
        <v>121.49547341245601</v>
      </c>
      <c r="I648" s="21">
        <v>132.650000000023</v>
      </c>
    </row>
    <row r="649" spans="4:9">
      <c r="D649" s="15" t="s">
        <v>646</v>
      </c>
      <c r="E649" s="21">
        <v>104.65746987111299</v>
      </c>
      <c r="F649" s="15">
        <f>Tabelle1!E648-Hoja1!E649</f>
        <v>-105.323528871113</v>
      </c>
      <c r="G649" s="15">
        <f t="shared" ref="G649:G712" si="10">ABS(F649)</f>
        <v>105.323528871113</v>
      </c>
      <c r="I649" s="21">
        <v>45.809999999997601</v>
      </c>
    </row>
    <row r="650" spans="4:9">
      <c r="D650" s="15" t="s">
        <v>647</v>
      </c>
      <c r="E650" s="21">
        <v>73.656997296450101</v>
      </c>
      <c r="F650" s="15">
        <f>Tabelle1!E649-Hoja1!E650</f>
        <v>-74.232629156450102</v>
      </c>
      <c r="G650" s="15">
        <f t="shared" si="10"/>
        <v>74.232629156450102</v>
      </c>
      <c r="I650" s="21">
        <v>48.159999999974303</v>
      </c>
    </row>
    <row r="651" spans="4:9">
      <c r="D651" s="15" t="s">
        <v>648</v>
      </c>
      <c r="E651" s="21">
        <v>26.084608544417499</v>
      </c>
      <c r="F651" s="15">
        <f>Tabelle1!E650-Hoja1!E651</f>
        <v>-26.2577544444175</v>
      </c>
      <c r="G651" s="15">
        <f t="shared" si="10"/>
        <v>26.2577544444175</v>
      </c>
      <c r="I651" s="21">
        <v>21.049999999988302</v>
      </c>
    </row>
    <row r="652" spans="4:9">
      <c r="D652" s="15" t="s">
        <v>649</v>
      </c>
      <c r="E652" s="21">
        <v>3.8837289645556199</v>
      </c>
      <c r="F652" s="15">
        <f>Tabelle1!E651-Hoja1!E652</f>
        <v>-3.81970842055562</v>
      </c>
      <c r="G652" s="15">
        <f t="shared" si="10"/>
        <v>3.81970842055562</v>
      </c>
      <c r="I652" s="21">
        <v>5.5100000000093097</v>
      </c>
    </row>
    <row r="653" spans="4:9">
      <c r="D653" s="15" t="s">
        <v>650</v>
      </c>
      <c r="E653" s="21">
        <v>0</v>
      </c>
      <c r="F653" s="15">
        <f>Tabelle1!E652-Hoja1!E653</f>
        <v>0.17871587</v>
      </c>
      <c r="G653" s="15">
        <f t="shared" si="10"/>
        <v>0.17871587</v>
      </c>
      <c r="I653" s="21">
        <v>0</v>
      </c>
    </row>
    <row r="654" spans="4:9">
      <c r="D654" s="15" t="s">
        <v>651</v>
      </c>
      <c r="E654" s="21">
        <v>0</v>
      </c>
      <c r="F654" s="15">
        <f>Tabelle1!E653-Hoja1!E654</f>
        <v>0.18717333999999999</v>
      </c>
      <c r="G654" s="15">
        <f t="shared" si="10"/>
        <v>0.18717333999999999</v>
      </c>
      <c r="I654" s="21">
        <v>0</v>
      </c>
    </row>
    <row r="655" spans="4:9">
      <c r="D655" s="15" t="s">
        <v>652</v>
      </c>
      <c r="E655" s="21">
        <v>0</v>
      </c>
      <c r="F655" s="15">
        <f>Tabelle1!E654-Hoja1!E655</f>
        <v>0.18717333999999999</v>
      </c>
      <c r="G655" s="15">
        <f t="shared" si="10"/>
        <v>0.18717333999999999</v>
      </c>
      <c r="I655" s="21">
        <v>0</v>
      </c>
    </row>
    <row r="656" spans="4:9">
      <c r="D656" s="15" t="s">
        <v>653</v>
      </c>
      <c r="E656" s="21">
        <v>0</v>
      </c>
      <c r="F656" s="15">
        <f>Tabelle1!E655-Hoja1!E656</f>
        <v>0.10352066</v>
      </c>
      <c r="G656" s="15">
        <f t="shared" si="10"/>
        <v>0.10352066</v>
      </c>
      <c r="I656" s="21">
        <v>0</v>
      </c>
    </row>
    <row r="657" spans="4:9">
      <c r="D657" s="15" t="s">
        <v>654</v>
      </c>
      <c r="E657" s="21">
        <v>0</v>
      </c>
      <c r="F657" s="15">
        <f>Tabelle1!E656-Hoja1!E657</f>
        <v>0.10352066</v>
      </c>
      <c r="G657" s="15">
        <f t="shared" si="10"/>
        <v>0.10352066</v>
      </c>
      <c r="I657" s="21">
        <v>0</v>
      </c>
    </row>
    <row r="658" spans="4:9">
      <c r="D658" s="15" t="s">
        <v>655</v>
      </c>
      <c r="E658" s="21">
        <v>0</v>
      </c>
      <c r="F658" s="15">
        <f>Tabelle1!E657-Hoja1!E658</f>
        <v>0.10352066</v>
      </c>
      <c r="G658" s="15">
        <f t="shared" si="10"/>
        <v>0.10352066</v>
      </c>
      <c r="I658" s="21">
        <v>0</v>
      </c>
    </row>
    <row r="659" spans="4:9">
      <c r="D659" s="15" t="s">
        <v>656</v>
      </c>
      <c r="E659" s="21">
        <v>0</v>
      </c>
      <c r="F659" s="15">
        <f>Tabelle1!E658-Hoja1!E659</f>
        <v>0.10352066</v>
      </c>
      <c r="G659" s="15">
        <f t="shared" si="10"/>
        <v>0.10352066</v>
      </c>
      <c r="I659" s="21">
        <v>0</v>
      </c>
    </row>
    <row r="660" spans="4:9">
      <c r="D660" s="15" t="s">
        <v>657</v>
      </c>
      <c r="E660" s="21">
        <v>0</v>
      </c>
      <c r="F660" s="15">
        <f>Tabelle1!E659-Hoja1!E660</f>
        <v>0.10352066</v>
      </c>
      <c r="G660" s="15">
        <f t="shared" si="10"/>
        <v>0.10352066</v>
      </c>
      <c r="I660" s="21">
        <v>0</v>
      </c>
    </row>
    <row r="661" spans="4:9">
      <c r="D661" s="15" t="s">
        <v>658</v>
      </c>
      <c r="E661" s="21">
        <v>0</v>
      </c>
      <c r="F661" s="15">
        <f>Tabelle1!E660-Hoja1!E661</f>
        <v>0.10352066</v>
      </c>
      <c r="G661" s="15">
        <f t="shared" si="10"/>
        <v>0.10352066</v>
      </c>
      <c r="I661" s="21">
        <v>0</v>
      </c>
    </row>
    <row r="662" spans="4:9">
      <c r="D662" s="15" t="s">
        <v>659</v>
      </c>
      <c r="E662" s="21">
        <v>0</v>
      </c>
      <c r="F662" s="15">
        <f>Tabelle1!E661-Hoja1!E662</f>
        <v>0.10352066</v>
      </c>
      <c r="G662" s="15">
        <f t="shared" si="10"/>
        <v>0.10352066</v>
      </c>
      <c r="I662" s="21">
        <v>0</v>
      </c>
    </row>
    <row r="663" spans="4:9">
      <c r="D663" s="15" t="s">
        <v>660</v>
      </c>
      <c r="E663" s="21">
        <v>0</v>
      </c>
      <c r="F663" s="15">
        <f>Tabelle1!E662-Hoja1!E663</f>
        <v>0.10352066</v>
      </c>
      <c r="G663" s="15">
        <f t="shared" si="10"/>
        <v>0.10352066</v>
      </c>
      <c r="I663" s="21">
        <v>0</v>
      </c>
    </row>
    <row r="664" spans="4:9">
      <c r="D664" s="15" t="s">
        <v>661</v>
      </c>
      <c r="E664" s="21">
        <v>0</v>
      </c>
      <c r="F664" s="15">
        <f>Tabelle1!E663-Hoja1!E664</f>
        <v>0.10352066</v>
      </c>
      <c r="G664" s="15">
        <f t="shared" si="10"/>
        <v>0.10352066</v>
      </c>
      <c r="I664" s="21">
        <v>2.0000000018626399E-2</v>
      </c>
    </row>
    <row r="665" spans="4:9">
      <c r="D665" s="15" t="s">
        <v>662</v>
      </c>
      <c r="E665" s="21">
        <v>3.1963574597070101</v>
      </c>
      <c r="F665" s="15">
        <f>Tabelle1!E664-Hoja1!E665</f>
        <v>-3.0034123597070099</v>
      </c>
      <c r="G665" s="15">
        <f t="shared" si="10"/>
        <v>3.0034123597070099</v>
      </c>
      <c r="I665" s="21">
        <v>0.63000000000465595</v>
      </c>
    </row>
    <row r="666" spans="4:9">
      <c r="D666" s="15" t="s">
        <v>663</v>
      </c>
      <c r="E666" s="21">
        <v>31.038467837304498</v>
      </c>
      <c r="F666" s="15">
        <f>Tabelle1!E665-Hoja1!E666</f>
        <v>-31.231899007304499</v>
      </c>
      <c r="G666" s="15">
        <f t="shared" si="10"/>
        <v>31.231899007304499</v>
      </c>
      <c r="I666" s="21">
        <v>0</v>
      </c>
    </row>
    <row r="667" spans="4:9">
      <c r="D667" s="15" t="s">
        <v>664</v>
      </c>
      <c r="E667" s="21">
        <v>80.038131542651499</v>
      </c>
      <c r="F667" s="15">
        <f>Tabelle1!E666-Hoja1!E667</f>
        <v>-80.131549067651505</v>
      </c>
      <c r="G667" s="15">
        <f t="shared" si="10"/>
        <v>80.131549067651505</v>
      </c>
      <c r="I667" s="21">
        <v>0</v>
      </c>
    </row>
    <row r="668" spans="4:9">
      <c r="D668" s="15" t="s">
        <v>665</v>
      </c>
      <c r="E668" s="21">
        <v>108.03104798929</v>
      </c>
      <c r="F668" s="15">
        <f>Tabelle1!E667-Hoja1!E668</f>
        <v>-108.12446551429001</v>
      </c>
      <c r="G668" s="15">
        <f t="shared" si="10"/>
        <v>108.12446551429001</v>
      </c>
      <c r="I668" s="21">
        <v>0</v>
      </c>
    </row>
    <row r="669" spans="4:9">
      <c r="D669" s="15" t="s">
        <v>666</v>
      </c>
      <c r="E669" s="21">
        <v>131.94629791828899</v>
      </c>
      <c r="F669" s="15">
        <f>Tabelle1!E668-Hoja1!E669</f>
        <v>-132.039715443289</v>
      </c>
      <c r="G669" s="15">
        <f t="shared" si="10"/>
        <v>132.039715443289</v>
      </c>
      <c r="I669" s="21">
        <v>0</v>
      </c>
    </row>
    <row r="670" spans="4:9">
      <c r="D670" s="15" t="s">
        <v>667</v>
      </c>
      <c r="E670" s="21">
        <v>130.60153747763599</v>
      </c>
      <c r="F670" s="15">
        <f>Tabelle1!E669-Hoja1!E670</f>
        <v>-130.69495500263599</v>
      </c>
      <c r="G670" s="15">
        <f t="shared" si="10"/>
        <v>130.69495500263599</v>
      </c>
      <c r="I670" s="21">
        <v>0</v>
      </c>
    </row>
    <row r="671" spans="4:9">
      <c r="D671" s="15" t="s">
        <v>668</v>
      </c>
      <c r="E671" s="21">
        <v>127.578570212328</v>
      </c>
      <c r="F671" s="15">
        <f>Tabelle1!E670-Hoja1!E671</f>
        <v>-127.67198773732801</v>
      </c>
      <c r="G671" s="15">
        <f t="shared" si="10"/>
        <v>127.67198773732801</v>
      </c>
      <c r="I671" s="21">
        <v>6.1699999999837001</v>
      </c>
    </row>
    <row r="672" spans="4:9">
      <c r="D672" s="15" t="s">
        <v>669</v>
      </c>
      <c r="E672" s="21">
        <v>106.40248131254501</v>
      </c>
      <c r="F672" s="15">
        <f>Tabelle1!E671-Hoja1!E672</f>
        <v>-106.49589883754501</v>
      </c>
      <c r="G672" s="15">
        <f t="shared" si="10"/>
        <v>106.49589883754501</v>
      </c>
      <c r="I672" s="21">
        <v>12.2100000000209</v>
      </c>
    </row>
    <row r="673" spans="4:9">
      <c r="D673" s="15" t="s">
        <v>670</v>
      </c>
      <c r="E673" s="21">
        <v>94.730533621232496</v>
      </c>
      <c r="F673" s="15">
        <f>Tabelle1!E672-Hoja1!E673</f>
        <v>-94.823951146232503</v>
      </c>
      <c r="G673" s="15">
        <f t="shared" si="10"/>
        <v>94.823951146232503</v>
      </c>
      <c r="I673" s="21">
        <v>12.1699999999837</v>
      </c>
    </row>
    <row r="674" spans="4:9">
      <c r="D674" s="15" t="s">
        <v>671</v>
      </c>
      <c r="E674" s="21">
        <v>63.832483747535598</v>
      </c>
      <c r="F674" s="15">
        <f>Tabelle1!E673-Hoja1!E674</f>
        <v>-63.887948227535595</v>
      </c>
      <c r="G674" s="15">
        <f t="shared" si="10"/>
        <v>63.887948227535595</v>
      </c>
      <c r="I674" s="21">
        <v>13.349999999976699</v>
      </c>
    </row>
    <row r="675" spans="4:9">
      <c r="D675" s="15" t="s">
        <v>672</v>
      </c>
      <c r="E675" s="21">
        <v>23.668640014550999</v>
      </c>
      <c r="F675" s="15">
        <f>Tabelle1!E674-Hoja1!E675</f>
        <v>-23.492379574550998</v>
      </c>
      <c r="G675" s="15">
        <f t="shared" si="10"/>
        <v>23.492379574550998</v>
      </c>
      <c r="I675" s="21">
        <v>20.180000000051201</v>
      </c>
    </row>
    <row r="676" spans="4:9">
      <c r="D676" s="15" t="s">
        <v>673</v>
      </c>
      <c r="E676" s="21">
        <v>5.4246507826166903</v>
      </c>
      <c r="F676" s="15">
        <f>Tabelle1!E675-Hoja1!E676</f>
        <v>-5.2806745726166904</v>
      </c>
      <c r="G676" s="15">
        <f t="shared" si="10"/>
        <v>5.2806745726166904</v>
      </c>
      <c r="I676" s="21">
        <v>6.3999999999650701</v>
      </c>
    </row>
    <row r="677" spans="4:9">
      <c r="D677" s="15" t="s">
        <v>674</v>
      </c>
      <c r="E677" s="21">
        <v>0</v>
      </c>
      <c r="F677" s="15">
        <f>Tabelle1!E676-Hoja1!E677</f>
        <v>0.17884077000000001</v>
      </c>
      <c r="G677" s="15">
        <f t="shared" si="10"/>
        <v>0.17884077000000001</v>
      </c>
      <c r="I677" s="21">
        <v>0</v>
      </c>
    </row>
    <row r="678" spans="4:9">
      <c r="D678" s="15" t="s">
        <v>675</v>
      </c>
      <c r="E678" s="21">
        <v>0</v>
      </c>
      <c r="F678" s="15">
        <f>Tabelle1!E677-Hoja1!E678</f>
        <v>0.18729824</v>
      </c>
      <c r="G678" s="15">
        <f t="shared" si="10"/>
        <v>0.18729824</v>
      </c>
      <c r="I678" s="21">
        <v>0</v>
      </c>
    </row>
    <row r="679" spans="4:9">
      <c r="D679" s="15" t="s">
        <v>676</v>
      </c>
      <c r="E679" s="21">
        <v>0</v>
      </c>
      <c r="F679" s="15">
        <f>Tabelle1!E678-Hoja1!E679</f>
        <v>0.18729824</v>
      </c>
      <c r="G679" s="15">
        <f t="shared" si="10"/>
        <v>0.18729824</v>
      </c>
      <c r="I679" s="21">
        <v>0</v>
      </c>
    </row>
    <row r="680" spans="4:9">
      <c r="D680" s="15" t="s">
        <v>677</v>
      </c>
      <c r="E680" s="21">
        <v>0</v>
      </c>
      <c r="F680" s="15">
        <f>Tabelle1!E679-Hoja1!E680</f>
        <v>0.10352066</v>
      </c>
      <c r="G680" s="15">
        <f t="shared" si="10"/>
        <v>0.10352066</v>
      </c>
      <c r="I680" s="21">
        <v>0</v>
      </c>
    </row>
    <row r="681" spans="4:9">
      <c r="D681" s="15" t="s">
        <v>678</v>
      </c>
      <c r="E681" s="21">
        <v>0</v>
      </c>
      <c r="F681" s="15">
        <f>Tabelle1!E680-Hoja1!E681</f>
        <v>0.10352066</v>
      </c>
      <c r="G681" s="15">
        <f t="shared" si="10"/>
        <v>0.10352066</v>
      </c>
      <c r="I681" s="21">
        <v>0</v>
      </c>
    </row>
    <row r="682" spans="4:9">
      <c r="D682" s="15" t="s">
        <v>679</v>
      </c>
      <c r="E682" s="21">
        <v>0</v>
      </c>
      <c r="F682" s="15">
        <f>Tabelle1!E681-Hoja1!E682</f>
        <v>0.10352066</v>
      </c>
      <c r="G682" s="15">
        <f t="shared" si="10"/>
        <v>0.10352066</v>
      </c>
      <c r="I682" s="21">
        <v>0</v>
      </c>
    </row>
    <row r="683" spans="4:9">
      <c r="D683" s="15" t="s">
        <v>680</v>
      </c>
      <c r="E683" s="21">
        <v>0</v>
      </c>
      <c r="F683" s="15">
        <f>Tabelle1!E682-Hoja1!E683</f>
        <v>0.10352066</v>
      </c>
      <c r="G683" s="15">
        <f t="shared" si="10"/>
        <v>0.10352066</v>
      </c>
      <c r="I683" s="21">
        <v>0</v>
      </c>
    </row>
    <row r="684" spans="4:9">
      <c r="D684" s="15" t="s">
        <v>681</v>
      </c>
      <c r="E684" s="21">
        <v>0</v>
      </c>
      <c r="F684" s="15">
        <f>Tabelle1!E683-Hoja1!E684</f>
        <v>0.10352066</v>
      </c>
      <c r="G684" s="15">
        <f t="shared" si="10"/>
        <v>0.10352066</v>
      </c>
      <c r="I684" s="21">
        <v>0</v>
      </c>
    </row>
    <row r="685" spans="4:9">
      <c r="D685" s="15" t="s">
        <v>682</v>
      </c>
      <c r="E685" s="21">
        <v>0</v>
      </c>
      <c r="F685" s="15">
        <f>Tabelle1!E684-Hoja1!E685</f>
        <v>0.10352066</v>
      </c>
      <c r="G685" s="15">
        <f t="shared" si="10"/>
        <v>0.10352066</v>
      </c>
      <c r="I685" s="21">
        <v>0</v>
      </c>
    </row>
    <row r="686" spans="4:9">
      <c r="D686" s="15" t="s">
        <v>683</v>
      </c>
      <c r="E686" s="21">
        <v>0</v>
      </c>
      <c r="F686" s="15">
        <f>Tabelle1!E685-Hoja1!E686</f>
        <v>0.10352066</v>
      </c>
      <c r="G686" s="15">
        <f t="shared" si="10"/>
        <v>0.10352066</v>
      </c>
      <c r="I686" s="21">
        <v>0</v>
      </c>
    </row>
    <row r="687" spans="4:9">
      <c r="D687" s="15" t="s">
        <v>684</v>
      </c>
      <c r="E687" s="21">
        <v>0</v>
      </c>
      <c r="F687" s="15">
        <f>Tabelle1!E686-Hoja1!E687</f>
        <v>0.10352066</v>
      </c>
      <c r="G687" s="15">
        <f t="shared" si="10"/>
        <v>0.10352066</v>
      </c>
      <c r="I687" s="21">
        <v>0</v>
      </c>
    </row>
    <row r="688" spans="4:9">
      <c r="D688" s="15" t="s">
        <v>685</v>
      </c>
      <c r="E688" s="21">
        <v>0</v>
      </c>
      <c r="F688" s="15">
        <f>Tabelle1!E687-Hoja1!E688</f>
        <v>0.10352066</v>
      </c>
      <c r="G688" s="15">
        <f t="shared" si="10"/>
        <v>0.10352066</v>
      </c>
      <c r="I688" s="21">
        <v>0.10999999998602999</v>
      </c>
    </row>
    <row r="689" spans="4:9">
      <c r="D689" s="15" t="s">
        <v>686</v>
      </c>
      <c r="E689" s="21">
        <v>3.1684351333044898</v>
      </c>
      <c r="F689" s="15">
        <f>Tabelle1!E688-Hoja1!E689</f>
        <v>-2.9754900333044896</v>
      </c>
      <c r="G689" s="15">
        <f t="shared" si="10"/>
        <v>2.9754900333044896</v>
      </c>
      <c r="I689" s="21">
        <v>3.4600000000209499</v>
      </c>
    </row>
    <row r="690" spans="4:9">
      <c r="D690" s="15" t="s">
        <v>687</v>
      </c>
      <c r="E690" s="21">
        <v>21.1691634331731</v>
      </c>
      <c r="F690" s="15">
        <f>Tabelle1!E689-Hoja1!E690</f>
        <v>-21.3625946031731</v>
      </c>
      <c r="G690" s="15">
        <f t="shared" si="10"/>
        <v>21.3625946031731</v>
      </c>
      <c r="I690" s="21">
        <v>15.609999999986</v>
      </c>
    </row>
    <row r="691" spans="4:9">
      <c r="D691" s="15" t="s">
        <v>688</v>
      </c>
      <c r="E691" s="21">
        <v>66.677633022882603</v>
      </c>
      <c r="F691" s="15">
        <f>Tabelle1!E690-Hoja1!E691</f>
        <v>-66.771050547882609</v>
      </c>
      <c r="G691" s="15">
        <f t="shared" si="10"/>
        <v>66.771050547882609</v>
      </c>
      <c r="I691" s="21">
        <v>11.730000000039499</v>
      </c>
    </row>
    <row r="692" spans="4:9">
      <c r="D692" s="15" t="s">
        <v>689</v>
      </c>
      <c r="E692" s="21">
        <v>91.922064134079903</v>
      </c>
      <c r="F692" s="15">
        <f>Tabelle1!E691-Hoja1!E692</f>
        <v>-92.01548165907991</v>
      </c>
      <c r="G692" s="15">
        <f t="shared" si="10"/>
        <v>92.01548165907991</v>
      </c>
      <c r="I692" s="21">
        <v>11.269999999960399</v>
      </c>
    </row>
    <row r="693" spans="4:9">
      <c r="D693" s="15" t="s">
        <v>690</v>
      </c>
      <c r="E693" s="21">
        <v>114.037859772546</v>
      </c>
      <c r="F693" s="15">
        <f>Tabelle1!E692-Hoja1!E693</f>
        <v>-114.13127729754601</v>
      </c>
      <c r="G693" s="15">
        <f t="shared" si="10"/>
        <v>114.13127729754601</v>
      </c>
      <c r="I693" s="21">
        <v>9.4800000000395794</v>
      </c>
    </row>
    <row r="694" spans="4:9">
      <c r="D694" s="15" t="s">
        <v>691</v>
      </c>
      <c r="E694" s="21">
        <v>118.767770000155</v>
      </c>
      <c r="F694" s="15">
        <f>Tabelle1!E693-Hoja1!E694</f>
        <v>-118.861187525155</v>
      </c>
      <c r="G694" s="15">
        <f t="shared" si="10"/>
        <v>118.861187525155</v>
      </c>
      <c r="I694" s="21">
        <v>44.75</v>
      </c>
    </row>
    <row r="695" spans="4:9">
      <c r="D695" s="15" t="s">
        <v>692</v>
      </c>
      <c r="E695" s="21">
        <v>119.37535745708399</v>
      </c>
      <c r="F695" s="15">
        <f>Tabelle1!E694-Hoja1!E695</f>
        <v>-119.468774982084</v>
      </c>
      <c r="G695" s="15">
        <f t="shared" si="10"/>
        <v>119.468774982084</v>
      </c>
      <c r="I695" s="21">
        <v>119.789999999979</v>
      </c>
    </row>
    <row r="696" spans="4:9">
      <c r="D696" s="15" t="s">
        <v>693</v>
      </c>
      <c r="E696" s="21">
        <v>108.77394709553199</v>
      </c>
      <c r="F696" s="15">
        <f>Tabelle1!E695-Hoja1!E696</f>
        <v>-108.867364620532</v>
      </c>
      <c r="G696" s="15">
        <f t="shared" si="10"/>
        <v>108.867364620532</v>
      </c>
      <c r="I696" s="21">
        <v>114.570000000006</v>
      </c>
    </row>
    <row r="697" spans="4:9">
      <c r="D697" s="15" t="s">
        <v>694</v>
      </c>
      <c r="E697" s="21">
        <v>96.158240608628304</v>
      </c>
      <c r="F697" s="15">
        <f>Tabelle1!E696-Hoja1!E697</f>
        <v>-96.251658133628311</v>
      </c>
      <c r="G697" s="15">
        <f t="shared" si="10"/>
        <v>96.251658133628311</v>
      </c>
      <c r="I697" s="21">
        <v>102.390000000013</v>
      </c>
    </row>
    <row r="698" spans="4:9">
      <c r="D698" s="15" t="s">
        <v>695</v>
      </c>
      <c r="E698" s="21">
        <v>63.696510318828999</v>
      </c>
      <c r="F698" s="15">
        <f>Tabelle1!E697-Hoja1!E698</f>
        <v>-63.751974798828996</v>
      </c>
      <c r="G698" s="15">
        <f t="shared" si="10"/>
        <v>63.751974798828996</v>
      </c>
      <c r="I698" s="21">
        <v>77.669999999983702</v>
      </c>
    </row>
    <row r="699" spans="4:9">
      <c r="D699" s="15" t="s">
        <v>696</v>
      </c>
      <c r="E699" s="21">
        <v>22.8658959438241</v>
      </c>
      <c r="F699" s="15">
        <f>Tabelle1!E698-Hoja1!E699</f>
        <v>-22.6896355038241</v>
      </c>
      <c r="G699" s="15">
        <f t="shared" si="10"/>
        <v>22.6896355038241</v>
      </c>
      <c r="I699" s="21">
        <v>26.4099999999743</v>
      </c>
    </row>
    <row r="700" spans="4:9">
      <c r="D700" s="15" t="s">
        <v>697</v>
      </c>
      <c r="E700" s="21">
        <v>5.3559361241635903</v>
      </c>
      <c r="F700" s="15">
        <f>Tabelle1!E699-Hoja1!E700</f>
        <v>-5.2119599141635904</v>
      </c>
      <c r="G700" s="15">
        <f t="shared" si="10"/>
        <v>5.2119599141635904</v>
      </c>
      <c r="I700" s="21">
        <v>5.7700000000186202</v>
      </c>
    </row>
    <row r="701" spans="4:9">
      <c r="D701" s="15" t="s">
        <v>698</v>
      </c>
      <c r="E701" s="21">
        <v>0</v>
      </c>
      <c r="F701" s="15">
        <f>Tabelle1!E700-Hoja1!E701</f>
        <v>0.17884077000000001</v>
      </c>
      <c r="G701" s="15">
        <f t="shared" si="10"/>
        <v>0.17884077000000001</v>
      </c>
      <c r="I701" s="21">
        <v>0</v>
      </c>
    </row>
    <row r="702" spans="4:9">
      <c r="D702" s="15" t="s">
        <v>699</v>
      </c>
      <c r="E702" s="21">
        <v>0</v>
      </c>
      <c r="F702" s="15">
        <f>Tabelle1!E701-Hoja1!E702</f>
        <v>0.18729824</v>
      </c>
      <c r="G702" s="15">
        <f t="shared" si="10"/>
        <v>0.18729824</v>
      </c>
      <c r="I702" s="21">
        <v>0</v>
      </c>
    </row>
    <row r="703" spans="4:9">
      <c r="D703" s="15" t="s">
        <v>700</v>
      </c>
      <c r="E703" s="21">
        <v>0</v>
      </c>
      <c r="F703" s="15">
        <f>Tabelle1!E702-Hoja1!E703</f>
        <v>0.18729824</v>
      </c>
      <c r="G703" s="15">
        <f t="shared" si="10"/>
        <v>0.18729824</v>
      </c>
      <c r="I703" s="21">
        <v>0</v>
      </c>
    </row>
    <row r="704" spans="4:9">
      <c r="D704" s="15" t="s">
        <v>701</v>
      </c>
      <c r="E704" s="21">
        <v>0</v>
      </c>
      <c r="F704" s="15">
        <f>Tabelle1!E703-Hoja1!E704</f>
        <v>9.7153210000000004E-2</v>
      </c>
      <c r="G704" s="15">
        <f t="shared" si="10"/>
        <v>9.7153210000000004E-2</v>
      </c>
      <c r="I704" s="21">
        <v>0</v>
      </c>
    </row>
    <row r="705" spans="4:9">
      <c r="D705" s="15" t="s">
        <v>702</v>
      </c>
      <c r="E705" s="21">
        <v>0</v>
      </c>
      <c r="F705" s="15">
        <f>Tabelle1!E704-Hoja1!E705</f>
        <v>9.7153210000000004E-2</v>
      </c>
      <c r="G705" s="15">
        <f t="shared" si="10"/>
        <v>9.7153210000000004E-2</v>
      </c>
      <c r="I705" s="21">
        <v>0</v>
      </c>
    </row>
    <row r="706" spans="4:9">
      <c r="D706" s="15" t="s">
        <v>703</v>
      </c>
      <c r="E706" s="21">
        <v>0</v>
      </c>
      <c r="F706" s="15">
        <f>Tabelle1!E705-Hoja1!E706</f>
        <v>9.7153210000000004E-2</v>
      </c>
      <c r="G706" s="15">
        <f t="shared" si="10"/>
        <v>9.7153210000000004E-2</v>
      </c>
      <c r="I706" s="21">
        <v>0</v>
      </c>
    </row>
    <row r="707" spans="4:9">
      <c r="D707" s="15" t="s">
        <v>704</v>
      </c>
      <c r="E707" s="21">
        <v>0</v>
      </c>
      <c r="F707" s="15">
        <f>Tabelle1!E706-Hoja1!E707</f>
        <v>9.7153210000000004E-2</v>
      </c>
      <c r="G707" s="15">
        <f t="shared" si="10"/>
        <v>9.7153210000000004E-2</v>
      </c>
      <c r="I707" s="21">
        <v>0</v>
      </c>
    </row>
    <row r="708" spans="4:9">
      <c r="D708" s="15" t="s">
        <v>705</v>
      </c>
      <c r="E708" s="21">
        <v>0</v>
      </c>
      <c r="F708" s="15">
        <f>Tabelle1!E707-Hoja1!E708</f>
        <v>9.7153210000000004E-2</v>
      </c>
      <c r="G708" s="15">
        <f t="shared" si="10"/>
        <v>9.7153210000000004E-2</v>
      </c>
      <c r="I708" s="21">
        <v>0</v>
      </c>
    </row>
    <row r="709" spans="4:9">
      <c r="D709" s="15" t="s">
        <v>706</v>
      </c>
      <c r="E709" s="21">
        <v>0</v>
      </c>
      <c r="F709" s="15">
        <f>Tabelle1!E708-Hoja1!E709</f>
        <v>9.7153210000000004E-2</v>
      </c>
      <c r="G709" s="15">
        <f t="shared" si="10"/>
        <v>9.7153210000000004E-2</v>
      </c>
      <c r="I709" s="21">
        <v>0</v>
      </c>
    </row>
    <row r="710" spans="4:9">
      <c r="D710" s="15" t="s">
        <v>707</v>
      </c>
      <c r="E710" s="21">
        <v>0</v>
      </c>
      <c r="F710" s="15">
        <f>Tabelle1!E709-Hoja1!E710</f>
        <v>9.7153210000000004E-2</v>
      </c>
      <c r="G710" s="15">
        <f t="shared" si="10"/>
        <v>9.7153210000000004E-2</v>
      </c>
      <c r="I710" s="21">
        <v>0</v>
      </c>
    </row>
    <row r="711" spans="4:9">
      <c r="D711" s="15" t="s">
        <v>708</v>
      </c>
      <c r="E711" s="21">
        <v>0</v>
      </c>
      <c r="F711" s="15">
        <f>Tabelle1!E710-Hoja1!E711</f>
        <v>9.7153210000000004E-2</v>
      </c>
      <c r="G711" s="15">
        <f t="shared" si="10"/>
        <v>9.7153210000000004E-2</v>
      </c>
      <c r="I711" s="21">
        <v>0</v>
      </c>
    </row>
    <row r="712" spans="4:9">
      <c r="D712" s="15" t="s">
        <v>709</v>
      </c>
      <c r="E712" s="21">
        <v>0</v>
      </c>
      <c r="F712" s="15">
        <f>Tabelle1!E711-Hoja1!E712</f>
        <v>9.7153210000000004E-2</v>
      </c>
      <c r="G712" s="15">
        <f t="shared" si="10"/>
        <v>9.7153210000000004E-2</v>
      </c>
      <c r="I712" s="21">
        <v>7.0000000006984905E-2</v>
      </c>
    </row>
    <row r="713" spans="4:9">
      <c r="D713" s="15" t="s">
        <v>710</v>
      </c>
      <c r="E713" s="21">
        <v>3.2026734510036099</v>
      </c>
      <c r="F713" s="15">
        <f>Tabelle1!E712-Hoja1!E713</f>
        <v>-3.01609582100361</v>
      </c>
      <c r="G713" s="15">
        <f t="shared" ref="G713:G727" si="11">ABS(F713)</f>
        <v>3.01609582100361</v>
      </c>
      <c r="I713" s="21">
        <v>3.3599999999860302</v>
      </c>
    </row>
    <row r="714" spans="4:9">
      <c r="D714" s="15" t="s">
        <v>711</v>
      </c>
      <c r="E714" s="21">
        <v>27.846254382601899</v>
      </c>
      <c r="F714" s="15">
        <f>Tabelle1!E713-Hoja1!E714</f>
        <v>-28.185594562601899</v>
      </c>
      <c r="G714" s="15">
        <f t="shared" si="11"/>
        <v>28.185594562601899</v>
      </c>
      <c r="I714" s="21">
        <v>34.710000000020898</v>
      </c>
    </row>
    <row r="715" spans="4:9">
      <c r="D715" s="15" t="s">
        <v>712</v>
      </c>
      <c r="E715" s="21">
        <v>71.298913412848705</v>
      </c>
      <c r="F715" s="15">
        <f>Tabelle1!E714-Hoja1!E715</f>
        <v>-72.035646012848702</v>
      </c>
      <c r="G715" s="15">
        <f t="shared" si="11"/>
        <v>72.035646012848702</v>
      </c>
      <c r="I715" s="21">
        <v>83.859999999986002</v>
      </c>
    </row>
    <row r="716" spans="4:9">
      <c r="D716" s="15" t="s">
        <v>713</v>
      </c>
      <c r="E716" s="21">
        <v>100.848456120021</v>
      </c>
      <c r="F716" s="15">
        <f>Tabelle1!E715-Hoja1!E716</f>
        <v>-101.58518872002099</v>
      </c>
      <c r="G716" s="15">
        <f t="shared" si="11"/>
        <v>101.58518872002099</v>
      </c>
      <c r="I716" s="21">
        <v>117.23999999999</v>
      </c>
    </row>
    <row r="717" spans="4:9">
      <c r="D717" s="15" t="s">
        <v>714</v>
      </c>
      <c r="E717" s="21">
        <v>122.937169397801</v>
      </c>
      <c r="F717" s="15">
        <f>Tabelle1!E716-Hoja1!E717</f>
        <v>-123.673901997801</v>
      </c>
      <c r="G717" s="15">
        <f t="shared" si="11"/>
        <v>123.673901997801</v>
      </c>
      <c r="I717" s="21">
        <v>128.95000000001099</v>
      </c>
    </row>
    <row r="718" spans="4:9">
      <c r="D718" s="15" t="s">
        <v>715</v>
      </c>
      <c r="E718" s="21">
        <v>125.100278038743</v>
      </c>
      <c r="F718" s="15">
        <f>Tabelle1!E717-Hoja1!E718</f>
        <v>-125.837010638743</v>
      </c>
      <c r="G718" s="15">
        <f t="shared" si="11"/>
        <v>125.837010638743</v>
      </c>
      <c r="I718" s="21">
        <v>131.219999999972</v>
      </c>
    </row>
    <row r="719" spans="4:9">
      <c r="D719" s="15" t="s">
        <v>716</v>
      </c>
      <c r="E719" s="21">
        <v>123.505243786447</v>
      </c>
      <c r="F719" s="15">
        <f>Tabelle1!E718-Hoja1!E719</f>
        <v>-124.24197638644699</v>
      </c>
      <c r="G719" s="15">
        <f t="shared" si="11"/>
        <v>124.24197638644699</v>
      </c>
      <c r="I719" s="21">
        <v>128.270000000018</v>
      </c>
    </row>
    <row r="720" spans="4:9">
      <c r="D720" s="15" t="s">
        <v>717</v>
      </c>
      <c r="E720" s="21">
        <v>112.461758879577</v>
      </c>
      <c r="F720" s="15">
        <f>Tabelle1!E719-Hoja1!E720</f>
        <v>-113.198491479577</v>
      </c>
      <c r="G720" s="15">
        <f t="shared" si="11"/>
        <v>113.198491479577</v>
      </c>
      <c r="I720" s="21">
        <v>120.520000000018</v>
      </c>
    </row>
    <row r="721" spans="4:9">
      <c r="D721" s="15" t="s">
        <v>718</v>
      </c>
      <c r="E721" s="21">
        <v>102.112493205162</v>
      </c>
      <c r="F721" s="15">
        <f>Tabelle1!E720-Hoja1!E721</f>
        <v>-102.84922580516199</v>
      </c>
      <c r="G721" s="15">
        <f t="shared" si="11"/>
        <v>102.84922580516199</v>
      </c>
      <c r="I721" s="21">
        <v>106.859999999986</v>
      </c>
    </row>
    <row r="722" spans="4:9">
      <c r="D722" s="15" t="s">
        <v>719</v>
      </c>
      <c r="E722" s="21">
        <v>68.029025279551306</v>
      </c>
      <c r="F722" s="15">
        <f>Tabelle1!E721-Hoja1!E722</f>
        <v>-68.675330839551307</v>
      </c>
      <c r="G722" s="15">
        <f t="shared" si="11"/>
        <v>68.675330839551307</v>
      </c>
      <c r="I722" s="21">
        <v>81.229999999981302</v>
      </c>
    </row>
    <row r="723" spans="4:9">
      <c r="D723" s="15" t="s">
        <v>720</v>
      </c>
      <c r="E723" s="21">
        <v>27.925281125525999</v>
      </c>
      <c r="F723" s="15">
        <f>Tabelle1!E722-Hoja1!E723</f>
        <v>-28.169100645525997</v>
      </c>
      <c r="G723" s="15">
        <f t="shared" si="11"/>
        <v>28.169100645525997</v>
      </c>
      <c r="I723" s="21">
        <v>36.739999999990602</v>
      </c>
    </row>
    <row r="724" spans="4:9">
      <c r="D724" s="15" t="s">
        <v>721</v>
      </c>
      <c r="E724" s="21">
        <v>5.47289694436716</v>
      </c>
      <c r="F724" s="15">
        <f>Tabelle1!E723-Hoja1!E724</f>
        <v>-5.4795499783671602</v>
      </c>
      <c r="G724" s="15">
        <f t="shared" si="11"/>
        <v>5.4795499783671602</v>
      </c>
      <c r="I724" s="21">
        <v>4.9800000000395803</v>
      </c>
    </row>
    <row r="725" spans="4:9">
      <c r="D725" s="15" t="s">
        <v>722</v>
      </c>
      <c r="E725" s="21">
        <v>0</v>
      </c>
      <c r="F725" s="15">
        <f>Tabelle1!E724-Hoja1!E725</f>
        <v>0.15968362999999999</v>
      </c>
      <c r="G725" s="15">
        <f t="shared" si="11"/>
        <v>0.15968362999999999</v>
      </c>
      <c r="I725" s="21">
        <v>0</v>
      </c>
    </row>
    <row r="726" spans="4:9">
      <c r="D726" s="15" t="s">
        <v>723</v>
      </c>
      <c r="E726" s="21">
        <v>0</v>
      </c>
      <c r="F726" s="15">
        <f>Tabelle1!E725-Hoja1!E726</f>
        <v>0.16814109999999999</v>
      </c>
      <c r="G726" s="15">
        <f t="shared" si="11"/>
        <v>0.16814109999999999</v>
      </c>
      <c r="I726" s="21">
        <v>0</v>
      </c>
    </row>
    <row r="727" spans="4:9">
      <c r="D727" s="15" t="s">
        <v>724</v>
      </c>
      <c r="E727" s="21">
        <v>0</v>
      </c>
      <c r="F727" s="15">
        <f>Tabelle1!E726-Hoja1!E727</f>
        <v>0.16814109999999999</v>
      </c>
      <c r="G727" s="15">
        <f t="shared" si="11"/>
        <v>0.16814109999999999</v>
      </c>
      <c r="I727" s="21">
        <v>0</v>
      </c>
    </row>
    <row r="729" spans="4:9" hidden="1"/>
    <row r="730" spans="4:9" hidden="1"/>
    <row r="731" spans="4:9" hidden="1"/>
    <row r="732" spans="4:9" hidden="1"/>
    <row r="733" spans="4:9" hidden="1"/>
    <row r="734" spans="4:9" hidden="1"/>
    <row r="735" spans="4:9" hidden="1"/>
    <row r="736" spans="4:9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80" spans="6:12">
      <c r="F980" s="15" t="s">
        <v>731</v>
      </c>
      <c r="G980" s="15">
        <f>ABS(SUM(G8:G727))</f>
        <v>25835.032231362406</v>
      </c>
      <c r="H980" s="17" t="s">
        <v>732</v>
      </c>
      <c r="I980" s="22">
        <f>COUNT(Tabelle1!E7:E726)</f>
        <v>720</v>
      </c>
      <c r="K980" s="15" t="s">
        <v>733</v>
      </c>
      <c r="L980" s="15">
        <f>SUM(Tabelle1!E7:E726)</f>
        <v>-95.399996887999961</v>
      </c>
    </row>
    <row r="981" spans="6:12">
      <c r="F981" s="16" t="s">
        <v>734</v>
      </c>
      <c r="G981" s="16">
        <f>COUNT(E8:E727)</f>
        <v>720</v>
      </c>
      <c r="K981" s="18" t="s">
        <v>730</v>
      </c>
      <c r="L981" s="15">
        <f>SUM(I8:I727)</f>
        <v>21224.610000000022</v>
      </c>
    </row>
    <row r="982" spans="6:12">
      <c r="F982" s="16" t="s">
        <v>2</v>
      </c>
      <c r="G982" s="19">
        <f>IF(I980&lt;G981,"",G980/G981)</f>
        <v>35.881989210225562</v>
      </c>
    </row>
    <row r="983" spans="6:12">
      <c r="K983" s="15" t="s">
        <v>735</v>
      </c>
      <c r="L983" s="20">
        <f>IF(I980&lt;G981,"",L980-L981)</f>
        <v>-21320.009996888024</v>
      </c>
    </row>
  </sheetData>
  <sheetProtection algorithmName="SHA-512" hashValue="in1oS4LD5WGyJCiKc5hGi3gso/zrtW8V+0TBBT7FxVqS6qrfN3YdbOwoA814oOWKWMk2sSwd9ChYJOj95NdCog==" saltValue="x6IMBG5/HP/uL4WWPWpD6A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Mayte Ballestar</dc:creator>
  <cp:keywords/>
  <dc:description/>
  <cp:lastModifiedBy>Sam Jones</cp:lastModifiedBy>
  <cp:revision/>
  <dcterms:created xsi:type="dcterms:W3CDTF">2015-06-05T18:19:34Z</dcterms:created>
  <dcterms:modified xsi:type="dcterms:W3CDTF">2025-03-26T13:15:05Z</dcterms:modified>
  <cp:category/>
  <cp:contentStatus/>
</cp:coreProperties>
</file>