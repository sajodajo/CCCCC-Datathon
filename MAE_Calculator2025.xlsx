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1" sheetId="1" r:id="rId4"/>
    <sheet state="visible" name="Hoja1" sheetId="2" r:id="rId5"/>
  </sheets>
  <definedNames/>
  <calcPr/>
  <extLst>
    <ext uri="GoogleSheetsCustomDataVersion2">
      <go:sheetsCustomData xmlns:go="http://customooxmlschemas.google.com/" r:id="rId6" roundtripDataChecksum="75xjEGAdnTsfRUDuC6XxyCuhKLi1lt+misDRaEJraJA="/>
    </ext>
  </extLst>
</workbook>
</file>

<file path=xl/sharedStrings.xml><?xml version="1.0" encoding="utf-8"?>
<sst xmlns="http://schemas.openxmlformats.org/spreadsheetml/2006/main" count="1459" uniqueCount="736">
  <si>
    <t>DATETIME</t>
  </si>
  <si>
    <r>
      <rPr>
        <rFont val="Calibri"/>
        <b/>
        <color rgb="FFFF0000"/>
        <sz val="14.0"/>
      </rPr>
      <t>Add your forecast Here for:</t>
    </r>
    <r>
      <rPr>
        <rFont val="Calibri"/>
        <b/>
        <color theme="1"/>
        <sz val="14.0"/>
      </rPr>
      <t xml:space="preserve">
</t>
    </r>
    <r>
      <rPr>
        <rFont val="Calibri"/>
        <b/>
        <color theme="0"/>
        <sz val="14.0"/>
      </rPr>
      <t>Maximum possible solar generation  (in kWh).</t>
    </r>
  </si>
  <si>
    <t>MAE</t>
  </si>
  <si>
    <t>Underutilization of the
 installation  kWh</t>
  </si>
  <si>
    <t>2024-09-01 00:00:00+02:00</t>
  </si>
  <si>
    <t>2024-09-01 01:00:00+02:00</t>
  </si>
  <si>
    <t>*The results will be displayed once the 720 prediction values are entered.</t>
  </si>
  <si>
    <t>2024-09-01 02:00:00+02:00</t>
  </si>
  <si>
    <t>2024-09-01 03:00:00+02:00</t>
  </si>
  <si>
    <t>2024-09-01 04:00:00+02:00</t>
  </si>
  <si>
    <t>2024-09-01 05:00:00+02:00</t>
  </si>
  <si>
    <t>2024-09-01 06:00:00+02:00</t>
  </si>
  <si>
    <t>2024-09-01 07:00:00+02:00</t>
  </si>
  <si>
    <t>2024-09-01 08:00:00+02:00</t>
  </si>
  <si>
    <t>2024-09-01 09:00:00+02:00</t>
  </si>
  <si>
    <t>2024-09-01 10:00:00+02:00</t>
  </si>
  <si>
    <t>2024-09-01 11:00:00+02:00</t>
  </si>
  <si>
    <t>2024-09-01 12:00:00+02:00</t>
  </si>
  <si>
    <t>2024-09-01 13:00:00+02:00</t>
  </si>
  <si>
    <t>2024-09-01 14:00:00+02:00</t>
  </si>
  <si>
    <t>2024-09-01 15:00:00+02:00</t>
  </si>
  <si>
    <t>2024-09-01 16:00:00+02:00</t>
  </si>
  <si>
    <t>2024-09-01 17:00:00+02:00</t>
  </si>
  <si>
    <t>2024-09-01 18:00:00+02:00</t>
  </si>
  <si>
    <t>2024-09-01 19:00:00+02:00</t>
  </si>
  <si>
    <t>2024-09-01 20:00:00+02:00</t>
  </si>
  <si>
    <t>2024-09-01 21:00:00+02:00</t>
  </si>
  <si>
    <t>2024-09-01 22:00:00+02:00</t>
  </si>
  <si>
    <t>2024-09-01 23:00:00+02:00</t>
  </si>
  <si>
    <t>2024-09-02 00:00:00+02:00</t>
  </si>
  <si>
    <t>2024-09-02 01:00:00+02:00</t>
  </si>
  <si>
    <t>2024-09-02 02:00:00+02:00</t>
  </si>
  <si>
    <t>2024-09-02 03:00:00+02:00</t>
  </si>
  <si>
    <t>2024-09-02 04:00:00+02:00</t>
  </si>
  <si>
    <t>2024-09-02 05:00:00+02:00</t>
  </si>
  <si>
    <t>2024-09-02 06:00:00+02:00</t>
  </si>
  <si>
    <t>2024-09-02 07:00:00+02:00</t>
  </si>
  <si>
    <t>2024-09-02 08:00:00+02:00</t>
  </si>
  <si>
    <t>2024-09-02 09:00:00+02:00</t>
  </si>
  <si>
    <t>2024-09-02 10:00:00+02:00</t>
  </si>
  <si>
    <t>2024-09-02 11:00:00+02:00</t>
  </si>
  <si>
    <t>2024-09-02 12:00:00+02:00</t>
  </si>
  <si>
    <t>2024-09-02 13:00:00+02:00</t>
  </si>
  <si>
    <t>2024-09-02 14:00:00+02:00</t>
  </si>
  <si>
    <t>2024-09-02 15:00:00+02:00</t>
  </si>
  <si>
    <t>2024-09-02 16:00:00+02:00</t>
  </si>
  <si>
    <t>2024-09-02 17:00:00+02:00</t>
  </si>
  <si>
    <t>2024-09-02 18:00:00+02:00</t>
  </si>
  <si>
    <t>2024-09-02 19:00:00+02:00</t>
  </si>
  <si>
    <t>2024-09-02 20:00:00+02:00</t>
  </si>
  <si>
    <t>2024-09-02 21:00:00+02:00</t>
  </si>
  <si>
    <t>2024-09-02 22:00:00+02:00</t>
  </si>
  <si>
    <t>2024-09-02 23:00:00+02:00</t>
  </si>
  <si>
    <t>2024-09-03 00:00:00+02:00</t>
  </si>
  <si>
    <t>2024-09-03 01:00:00+02:00</t>
  </si>
  <si>
    <t>2024-09-03 02:00:00+02:00</t>
  </si>
  <si>
    <t>2024-09-03 03:00:00+02:00</t>
  </si>
  <si>
    <t>2024-09-03 04:00:00+02:00</t>
  </si>
  <si>
    <t>2024-09-03 05:00:00+02:00</t>
  </si>
  <si>
    <t>2024-09-03 06:00:00+02:00</t>
  </si>
  <si>
    <t>2024-09-03 07:00:00+02:00</t>
  </si>
  <si>
    <t>2024-09-03 08:00:00+02:00</t>
  </si>
  <si>
    <t>2024-09-03 09:00:00+02:00</t>
  </si>
  <si>
    <t>2024-09-03 10:00:00+02:00</t>
  </si>
  <si>
    <t>2024-09-03 11:00:00+02:00</t>
  </si>
  <si>
    <t>2024-09-03 12:00:00+02:00</t>
  </si>
  <si>
    <t>2024-09-03 13:00:00+02:00</t>
  </si>
  <si>
    <t>2024-09-03 14:00:00+02:00</t>
  </si>
  <si>
    <t>2024-09-03 15:00:00+02:00</t>
  </si>
  <si>
    <t>2024-09-03 16:00:00+02:00</t>
  </si>
  <si>
    <t>2024-09-03 17:00:00+02:00</t>
  </si>
  <si>
    <t>2024-09-03 18:00:00+02:00</t>
  </si>
  <si>
    <t>2024-09-03 19:00:00+02:00</t>
  </si>
  <si>
    <t>2024-09-03 20:00:00+02:00</t>
  </si>
  <si>
    <t>2024-09-03 21:00:00+02:00</t>
  </si>
  <si>
    <t>2024-09-03 22:00:00+02:00</t>
  </si>
  <si>
    <t>2024-09-03 23:00:00+02:00</t>
  </si>
  <si>
    <t>2024-09-04 00:00:00+02:00</t>
  </si>
  <si>
    <t>2024-09-04 01:00:00+02:00</t>
  </si>
  <si>
    <t>2024-09-04 02:00:00+02:00</t>
  </si>
  <si>
    <t>2024-09-04 03:00:00+02:00</t>
  </si>
  <si>
    <t>2024-09-04 04:00:00+02:00</t>
  </si>
  <si>
    <t>2024-09-04 05:00:00+02:00</t>
  </si>
  <si>
    <t>2024-09-04 06:00:00+02:00</t>
  </si>
  <si>
    <t>2024-09-04 07:00:00+02:00</t>
  </si>
  <si>
    <t>2024-09-04 08:00:00+02:00</t>
  </si>
  <si>
    <t>2024-09-04 09:00:00+02:00</t>
  </si>
  <si>
    <t>2024-09-04 10:00:00+02:00</t>
  </si>
  <si>
    <t>2024-09-04 11:00:00+02:00</t>
  </si>
  <si>
    <t>2024-09-04 12:00:00+02:00</t>
  </si>
  <si>
    <t>2024-09-04 13:00:00+02:00</t>
  </si>
  <si>
    <t>2024-09-04 14:00:00+02:00</t>
  </si>
  <si>
    <t>2024-09-04 15:00:00+02:00</t>
  </si>
  <si>
    <t>2024-09-04 16:00:00+02:00</t>
  </si>
  <si>
    <t>2024-09-04 17:00:00+02:00</t>
  </si>
  <si>
    <t>2024-09-04 18:00:00+02:00</t>
  </si>
  <si>
    <t>2024-09-04 19:00:00+02:00</t>
  </si>
  <si>
    <t>2024-09-04 20:00:00+02:00</t>
  </si>
  <si>
    <t>2024-09-04 21:00:00+02:00</t>
  </si>
  <si>
    <t>2024-09-04 22:00:00+02:00</t>
  </si>
  <si>
    <t>2024-09-04 23:00:00+02:00</t>
  </si>
  <si>
    <t>2024-09-05 00:00:00+02:00</t>
  </si>
  <si>
    <t>2024-09-05 01:00:00+02:00</t>
  </si>
  <si>
    <t>2024-09-05 02:00:00+02:00</t>
  </si>
  <si>
    <t>2024-09-05 03:00:00+02:00</t>
  </si>
  <si>
    <t>2024-09-05 04:00:00+02:00</t>
  </si>
  <si>
    <t>2024-09-05 05:00:00+02:00</t>
  </si>
  <si>
    <t>2024-09-05 06:00:00+02:00</t>
  </si>
  <si>
    <t>2024-09-05 07:00:00+02:00</t>
  </si>
  <si>
    <t>2024-09-05 08:00:00+02:00</t>
  </si>
  <si>
    <t>2024-09-05 09:00:00+02:00</t>
  </si>
  <si>
    <t>2024-09-05 10:00:00+02:00</t>
  </si>
  <si>
    <t>2024-09-05 11:00:00+02:00</t>
  </si>
  <si>
    <t>2024-09-05 12:00:00+02:00</t>
  </si>
  <si>
    <t>2024-09-05 13:00:00+02:00</t>
  </si>
  <si>
    <t>2024-09-05 14:00:00+02:00</t>
  </si>
  <si>
    <t>2024-09-05 15:00:00+02:00</t>
  </si>
  <si>
    <t>2024-09-05 16:00:00+02:00</t>
  </si>
  <si>
    <t>2024-09-05 17:00:00+02:00</t>
  </si>
  <si>
    <t>2024-09-05 18:00:00+02:00</t>
  </si>
  <si>
    <t>2024-09-05 19:00:00+02:00</t>
  </si>
  <si>
    <t>2024-09-05 20:00:00+02:00</t>
  </si>
  <si>
    <t>2024-09-05 21:00:00+02:00</t>
  </si>
  <si>
    <t>2024-09-05 22:00:00+02:00</t>
  </si>
  <si>
    <t>2024-09-05 23:00:00+02:00</t>
  </si>
  <si>
    <t>2024-09-06 00:00:00+02:00</t>
  </si>
  <si>
    <t>2024-09-06 01:00:00+02:00</t>
  </si>
  <si>
    <t>2024-09-06 02:00:00+02:00</t>
  </si>
  <si>
    <t>2024-09-06 03:00:00+02:00</t>
  </si>
  <si>
    <t>2024-09-06 04:00:00+02:00</t>
  </si>
  <si>
    <t>2024-09-06 05:00:00+02:00</t>
  </si>
  <si>
    <t>2024-09-06 06:00:00+02:00</t>
  </si>
  <si>
    <t>2024-09-06 07:00:00+02:00</t>
  </si>
  <si>
    <t>2024-09-06 08:00:00+02:00</t>
  </si>
  <si>
    <t>2024-09-06 09:00:00+02:00</t>
  </si>
  <si>
    <t>2024-09-06 10:00:00+02:00</t>
  </si>
  <si>
    <t>2024-09-06 11:00:00+02:00</t>
  </si>
  <si>
    <t>2024-09-06 12:00:00+02:00</t>
  </si>
  <si>
    <t>2024-09-06 13:00:00+02:00</t>
  </si>
  <si>
    <t>2024-09-06 14:00:00+02:00</t>
  </si>
  <si>
    <t>2024-09-06 15:00:00+02:00</t>
  </si>
  <si>
    <t>2024-09-06 16:00:00+02:00</t>
  </si>
  <si>
    <t>2024-09-06 17:00:00+02:00</t>
  </si>
  <si>
    <t>2024-09-06 18:00:00+02:00</t>
  </si>
  <si>
    <t>2024-09-06 19:00:00+02:00</t>
  </si>
  <si>
    <t>2024-09-06 20:00:00+02:00</t>
  </si>
  <si>
    <t>2024-09-06 21:00:00+02:00</t>
  </si>
  <si>
    <t>2024-09-06 22:00:00+02:00</t>
  </si>
  <si>
    <t>2024-09-06 23:00:00+02:00</t>
  </si>
  <si>
    <t>2024-09-07 00:00:00+02:00</t>
  </si>
  <si>
    <t>2024-09-07 01:00:00+02:00</t>
  </si>
  <si>
    <t>2024-09-07 02:00:00+02:00</t>
  </si>
  <si>
    <t>2024-09-07 03:00:00+02:00</t>
  </si>
  <si>
    <t>2024-09-07 04:00:00+02:00</t>
  </si>
  <si>
    <t>2024-09-07 05:00:00+02:00</t>
  </si>
  <si>
    <t>2024-09-07 06:00:00+02:00</t>
  </si>
  <si>
    <t>2024-09-07 07:00:00+02:00</t>
  </si>
  <si>
    <t>2024-09-07 08:00:00+02:00</t>
  </si>
  <si>
    <t>2024-09-07 09:00:00+02:00</t>
  </si>
  <si>
    <t>2024-09-07 10:00:00+02:00</t>
  </si>
  <si>
    <t>2024-09-07 11:00:00+02:00</t>
  </si>
  <si>
    <t>2024-09-07 12:00:00+02:00</t>
  </si>
  <si>
    <t>2024-09-07 13:00:00+02:00</t>
  </si>
  <si>
    <t>2024-09-07 14:00:00+02:00</t>
  </si>
  <si>
    <t>2024-09-07 15:00:00+02:00</t>
  </si>
  <si>
    <t>2024-09-07 16:00:00+02:00</t>
  </si>
  <si>
    <t>2024-09-07 17:00:00+02:00</t>
  </si>
  <si>
    <t>2024-09-07 18:00:00+02:00</t>
  </si>
  <si>
    <t>2024-09-07 19:00:00+02:00</t>
  </si>
  <si>
    <t>2024-09-07 20:00:00+02:00</t>
  </si>
  <si>
    <t>2024-09-07 21:00:00+02:00</t>
  </si>
  <si>
    <t>2024-09-07 22:00:00+02:00</t>
  </si>
  <si>
    <t>2024-09-07 23:00:00+02:00</t>
  </si>
  <si>
    <t>2024-09-08 00:00:00+02:00</t>
  </si>
  <si>
    <t>2024-09-08 01:00:00+02:00</t>
  </si>
  <si>
    <t>2024-09-08 02:00:00+02:00</t>
  </si>
  <si>
    <t>2024-09-08 03:00:00+02:00</t>
  </si>
  <si>
    <t>2024-09-08 04:00:00+02:00</t>
  </si>
  <si>
    <t>2024-09-08 05:00:00+02:00</t>
  </si>
  <si>
    <t>2024-09-08 06:00:00+02:00</t>
  </si>
  <si>
    <t>2024-09-08 07:00:00+02:00</t>
  </si>
  <si>
    <t>2024-09-08 08:00:00+02:00</t>
  </si>
  <si>
    <t>2024-09-08 09:00:00+02:00</t>
  </si>
  <si>
    <t>2024-09-08 10:00:00+02:00</t>
  </si>
  <si>
    <t>2024-09-08 11:00:00+02:00</t>
  </si>
  <si>
    <t>2024-09-08 12:00:00+02:00</t>
  </si>
  <si>
    <t>2024-09-08 13:00:00+02:00</t>
  </si>
  <si>
    <t>2024-09-08 14:00:00+02:00</t>
  </si>
  <si>
    <t>2024-09-08 15:00:00+02:00</t>
  </si>
  <si>
    <t>2024-09-08 16:00:00+02:00</t>
  </si>
  <si>
    <t>2024-09-08 17:00:00+02:00</t>
  </si>
  <si>
    <t>2024-09-08 18:00:00+02:00</t>
  </si>
  <si>
    <t>2024-09-08 19:00:00+02:00</t>
  </si>
  <si>
    <t>2024-09-08 20:00:00+02:00</t>
  </si>
  <si>
    <t>2024-09-08 21:00:00+02:00</t>
  </si>
  <si>
    <t>2024-09-08 22:00:00+02:00</t>
  </si>
  <si>
    <t>2024-09-08 23:00:00+02:00</t>
  </si>
  <si>
    <t>2024-09-09 00:00:00+02:00</t>
  </si>
  <si>
    <t>2024-09-09 01:00:00+02:00</t>
  </si>
  <si>
    <t>2024-09-09 02:00:00+02:00</t>
  </si>
  <si>
    <t>2024-09-09 03:00:00+02:00</t>
  </si>
  <si>
    <t>2024-09-09 04:00:00+02:00</t>
  </si>
  <si>
    <t>2024-09-09 05:00:00+02:00</t>
  </si>
  <si>
    <t>2024-09-09 06:00:00+02:00</t>
  </si>
  <si>
    <t>2024-09-09 07:00:00+02:00</t>
  </si>
  <si>
    <t>2024-09-09 08:00:00+02:00</t>
  </si>
  <si>
    <t>2024-09-09 09:00:00+02:00</t>
  </si>
  <si>
    <t>2024-09-09 10:00:00+02:00</t>
  </si>
  <si>
    <t>2024-09-09 11:00:00+02:00</t>
  </si>
  <si>
    <t>2024-09-09 12:00:00+02:00</t>
  </si>
  <si>
    <t>2024-09-09 13:00:00+02:00</t>
  </si>
  <si>
    <t>2024-09-09 14:00:00+02:00</t>
  </si>
  <si>
    <t>2024-09-09 15:00:00+02:00</t>
  </si>
  <si>
    <t>2024-09-09 16:00:00+02:00</t>
  </si>
  <si>
    <t>2024-09-09 17:00:00+02:00</t>
  </si>
  <si>
    <t>2024-09-09 18:00:00+02:00</t>
  </si>
  <si>
    <t>2024-09-09 19:00:00+02:00</t>
  </si>
  <si>
    <t>2024-09-09 20:00:00+02:00</t>
  </si>
  <si>
    <t>2024-09-09 21:00:00+02:00</t>
  </si>
  <si>
    <t>2024-09-09 22:00:00+02:00</t>
  </si>
  <si>
    <t>2024-09-09 23:00:00+02:00</t>
  </si>
  <si>
    <t>2024-09-10 00:00:00+02:00</t>
  </si>
  <si>
    <t>2024-09-10 01:00:00+02:00</t>
  </si>
  <si>
    <t>2024-09-10 02:00:00+02:00</t>
  </si>
  <si>
    <t>2024-09-10 03:00:00+02:00</t>
  </si>
  <si>
    <t>2024-09-10 04:00:00+02:00</t>
  </si>
  <si>
    <t>2024-09-10 05:00:00+02:00</t>
  </si>
  <si>
    <t>2024-09-10 06:00:00+02:00</t>
  </si>
  <si>
    <t>2024-09-10 07:00:00+02:00</t>
  </si>
  <si>
    <t>2024-09-10 08:00:00+02:00</t>
  </si>
  <si>
    <t>2024-09-10 09:00:00+02:00</t>
  </si>
  <si>
    <t>2024-09-10 10:00:00+02:00</t>
  </si>
  <si>
    <t>2024-09-10 11:00:00+02:00</t>
  </si>
  <si>
    <t>2024-09-10 12:00:00+02:00</t>
  </si>
  <si>
    <t>2024-09-10 13:00:00+02:00</t>
  </si>
  <si>
    <t>2024-09-10 14:00:00+02:00</t>
  </si>
  <si>
    <t>2024-09-10 15:00:00+02:00</t>
  </si>
  <si>
    <t>2024-09-10 16:00:00+02:00</t>
  </si>
  <si>
    <t>2024-09-10 17:00:00+02:00</t>
  </si>
  <si>
    <t>2024-09-10 18:00:00+02:00</t>
  </si>
  <si>
    <t>2024-09-10 19:00:00+02:00</t>
  </si>
  <si>
    <t>2024-09-10 20:00:00+02:00</t>
  </si>
  <si>
    <t>2024-09-10 21:00:00+02:00</t>
  </si>
  <si>
    <t>2024-09-10 22:00:00+02:00</t>
  </si>
  <si>
    <t>2024-09-10 23:00:00+02:00</t>
  </si>
  <si>
    <t>2024-09-11 00:00:00+02:00</t>
  </si>
  <si>
    <t>2024-09-11 01:00:00+02:00</t>
  </si>
  <si>
    <t>2024-09-11 02:00:00+02:00</t>
  </si>
  <si>
    <t>2024-09-11 03:00:00+02:00</t>
  </si>
  <si>
    <t>2024-09-11 04:00:00+02:00</t>
  </si>
  <si>
    <t>2024-09-11 05:00:00+02:00</t>
  </si>
  <si>
    <t>2024-09-11 06:00:00+02:00</t>
  </si>
  <si>
    <t>2024-09-11 07:00:00+02:00</t>
  </si>
  <si>
    <t>2024-09-11 08:00:00+02:00</t>
  </si>
  <si>
    <t>2024-09-11 09:00:00+02:00</t>
  </si>
  <si>
    <t>2024-09-11 10:00:00+02:00</t>
  </si>
  <si>
    <t>2024-09-11 11:00:00+02:00</t>
  </si>
  <si>
    <t>2024-09-11 12:00:00+02:00</t>
  </si>
  <si>
    <t>2024-09-11 13:00:00+02:00</t>
  </si>
  <si>
    <t>2024-09-11 14:00:00+02:00</t>
  </si>
  <si>
    <t>2024-09-11 15:00:00+02:00</t>
  </si>
  <si>
    <t>2024-09-11 16:00:00+02:00</t>
  </si>
  <si>
    <t>2024-09-11 17:00:00+02:00</t>
  </si>
  <si>
    <t>2024-09-11 18:00:00+02:00</t>
  </si>
  <si>
    <t>2024-09-11 19:00:00+02:00</t>
  </si>
  <si>
    <t>2024-09-11 20:00:00+02:00</t>
  </si>
  <si>
    <t>2024-09-11 21:00:00+02:00</t>
  </si>
  <si>
    <t>2024-09-11 22:00:00+02:00</t>
  </si>
  <si>
    <t>2024-09-11 23:00:00+02:00</t>
  </si>
  <si>
    <t>2024-09-12 00:00:00+02:00</t>
  </si>
  <si>
    <t>2024-09-12 01:00:00+02:00</t>
  </si>
  <si>
    <t>2024-09-12 02:00:00+02:00</t>
  </si>
  <si>
    <t>2024-09-12 03:00:00+02:00</t>
  </si>
  <si>
    <t>2024-09-12 04:00:00+02:00</t>
  </si>
  <si>
    <t>2024-09-12 05:00:00+02:00</t>
  </si>
  <si>
    <t>2024-09-12 06:00:00+02:00</t>
  </si>
  <si>
    <t>2024-09-12 07:00:00+02:00</t>
  </si>
  <si>
    <t>2024-09-12 08:00:00+02:00</t>
  </si>
  <si>
    <t>2024-09-12 09:00:00+02:00</t>
  </si>
  <si>
    <t>2024-09-12 10:00:00+02:00</t>
  </si>
  <si>
    <t>2024-09-12 11:00:00+02:00</t>
  </si>
  <si>
    <t>2024-09-12 12:00:00+02:00</t>
  </si>
  <si>
    <t>2024-09-12 13:00:00+02:00</t>
  </si>
  <si>
    <t>2024-09-12 14:00:00+02:00</t>
  </si>
  <si>
    <t>2024-09-12 15:00:00+02:00</t>
  </si>
  <si>
    <t>2024-09-12 16:00:00+02:00</t>
  </si>
  <si>
    <t>2024-09-12 17:00:00+02:00</t>
  </si>
  <si>
    <t>2024-09-12 18:00:00+02:00</t>
  </si>
  <si>
    <t>2024-09-12 19:00:00+02:00</t>
  </si>
  <si>
    <t>2024-09-12 20:00:00+02:00</t>
  </si>
  <si>
    <t>2024-09-12 21:00:00+02:00</t>
  </si>
  <si>
    <t>2024-09-12 22:00:00+02:00</t>
  </si>
  <si>
    <t>2024-09-12 23:00:00+02:00</t>
  </si>
  <si>
    <t>2024-09-13 00:00:00+02:00</t>
  </si>
  <si>
    <t>2024-09-13 01:00:00+02:00</t>
  </si>
  <si>
    <t>2024-09-13 02:00:00+02:00</t>
  </si>
  <si>
    <t>2024-09-13 03:00:00+02:00</t>
  </si>
  <si>
    <t>2024-09-13 04:00:00+02:00</t>
  </si>
  <si>
    <t>2024-09-13 05:00:00+02:00</t>
  </si>
  <si>
    <t>2024-09-13 06:00:00+02:00</t>
  </si>
  <si>
    <t>2024-09-13 07:00:00+02:00</t>
  </si>
  <si>
    <t>2024-09-13 08:00:00+02:00</t>
  </si>
  <si>
    <t>2024-09-13 09:00:00+02:00</t>
  </si>
  <si>
    <t>2024-09-13 10:00:00+02:00</t>
  </si>
  <si>
    <t>2024-09-13 11:00:00+02:00</t>
  </si>
  <si>
    <t>2024-09-13 12:00:00+02:00</t>
  </si>
  <si>
    <t>2024-09-13 13:00:00+02:00</t>
  </si>
  <si>
    <t>2024-09-13 14:00:00+02:00</t>
  </si>
  <si>
    <t>2024-09-13 15:00:00+02:00</t>
  </si>
  <si>
    <t>2024-09-13 16:00:00+02:00</t>
  </si>
  <si>
    <t>2024-09-13 17:00:00+02:00</t>
  </si>
  <si>
    <t>2024-09-13 18:00:00+02:00</t>
  </si>
  <si>
    <t>2024-09-13 19:00:00+02:00</t>
  </si>
  <si>
    <t>2024-09-13 20:00:00+02:00</t>
  </si>
  <si>
    <t>2024-09-13 21:00:00+02:00</t>
  </si>
  <si>
    <t>2024-09-13 22:00:00+02:00</t>
  </si>
  <si>
    <t>2024-09-13 23:00:00+02:00</t>
  </si>
  <si>
    <t>2024-09-14 00:00:00+02:00</t>
  </si>
  <si>
    <t>2024-09-14 01:00:00+02:00</t>
  </si>
  <si>
    <t>2024-09-14 02:00:00+02:00</t>
  </si>
  <si>
    <t>2024-09-14 03:00:00+02:00</t>
  </si>
  <si>
    <t>2024-09-14 04:00:00+02:00</t>
  </si>
  <si>
    <t>2024-09-14 05:00:00+02:00</t>
  </si>
  <si>
    <t>2024-09-14 06:00:00+02:00</t>
  </si>
  <si>
    <t>2024-09-14 07:00:00+02:00</t>
  </si>
  <si>
    <t>2024-09-14 08:00:00+02:00</t>
  </si>
  <si>
    <t>2024-09-14 09:00:00+02:00</t>
  </si>
  <si>
    <t>2024-09-14 10:00:00+02:00</t>
  </si>
  <si>
    <t>2024-09-14 11:00:00+02:00</t>
  </si>
  <si>
    <t>2024-09-14 12:00:00+02:00</t>
  </si>
  <si>
    <t>2024-09-14 13:00:00+02:00</t>
  </si>
  <si>
    <t>2024-09-14 14:00:00+02:00</t>
  </si>
  <si>
    <t>2024-09-14 15:00:00+02:00</t>
  </si>
  <si>
    <t>2024-09-14 16:00:00+02:00</t>
  </si>
  <si>
    <t>2024-09-14 17:00:00+02:00</t>
  </si>
  <si>
    <t>2024-09-14 18:00:00+02:00</t>
  </si>
  <si>
    <t>2024-09-14 19:00:00+02:00</t>
  </si>
  <si>
    <t>2024-09-14 20:00:00+02:00</t>
  </si>
  <si>
    <t>2024-09-14 21:00:00+02:00</t>
  </si>
  <si>
    <t>2024-09-14 22:00:00+02:00</t>
  </si>
  <si>
    <t>2024-09-14 23:00:00+02:00</t>
  </si>
  <si>
    <t>2024-09-15 00:00:00+02:00</t>
  </si>
  <si>
    <t>2024-09-15 01:00:00+02:00</t>
  </si>
  <si>
    <t>2024-09-15 02:00:00+02:00</t>
  </si>
  <si>
    <t>2024-09-15 03:00:00+02:00</t>
  </si>
  <si>
    <t>2024-09-15 04:00:00+02:00</t>
  </si>
  <si>
    <t>2024-09-15 05:00:00+02:00</t>
  </si>
  <si>
    <t>2024-09-15 06:00:00+02:00</t>
  </si>
  <si>
    <t>2024-09-15 07:00:00+02:00</t>
  </si>
  <si>
    <t>2024-09-15 08:00:00+02:00</t>
  </si>
  <si>
    <t>2024-09-15 09:00:00+02:00</t>
  </si>
  <si>
    <t>2024-09-15 10:00:00+02:00</t>
  </si>
  <si>
    <t>2024-09-15 11:00:00+02:00</t>
  </si>
  <si>
    <t>2024-09-15 12:00:00+02:00</t>
  </si>
  <si>
    <t>2024-09-15 13:00:00+02:00</t>
  </si>
  <si>
    <t>2024-09-15 14:00:00+02:00</t>
  </si>
  <si>
    <t>2024-09-15 15:00:00+02:00</t>
  </si>
  <si>
    <t>2024-09-15 16:00:00+02:00</t>
  </si>
  <si>
    <t>2024-09-15 17:00:00+02:00</t>
  </si>
  <si>
    <t>2024-09-15 18:00:00+02:00</t>
  </si>
  <si>
    <t>2024-09-15 19:00:00+02:00</t>
  </si>
  <si>
    <t>2024-09-15 20:00:00+02:00</t>
  </si>
  <si>
    <t>2024-09-15 21:00:00+02:00</t>
  </si>
  <si>
    <t>2024-09-15 22:00:00+02:00</t>
  </si>
  <si>
    <t>2024-09-15 23:00:00+02:00</t>
  </si>
  <si>
    <t>2024-09-16 00:00:00+02:00</t>
  </si>
  <si>
    <t>2024-09-16 01:00:00+02:00</t>
  </si>
  <si>
    <t>2024-09-16 02:00:00+02:00</t>
  </si>
  <si>
    <t>2024-09-16 03:00:00+02:00</t>
  </si>
  <si>
    <t>2024-09-16 04:00:00+02:00</t>
  </si>
  <si>
    <t>2024-09-16 05:00:00+02:00</t>
  </si>
  <si>
    <t>2024-09-16 06:00:00+02:00</t>
  </si>
  <si>
    <t>2024-09-16 07:00:00+02:00</t>
  </si>
  <si>
    <t>2024-09-16 08:00:00+02:00</t>
  </si>
  <si>
    <t>2024-09-16 09:00:00+02:00</t>
  </si>
  <si>
    <t>2024-09-16 10:00:00+02:00</t>
  </si>
  <si>
    <t>2024-09-16 11:00:00+02:00</t>
  </si>
  <si>
    <t>2024-09-16 12:00:00+02:00</t>
  </si>
  <si>
    <t>2024-09-16 13:00:00+02:00</t>
  </si>
  <si>
    <t>2024-09-16 14:00:00+02:00</t>
  </si>
  <si>
    <t>2024-09-16 15:00:00+02:00</t>
  </si>
  <si>
    <t>2024-09-16 16:00:00+02:00</t>
  </si>
  <si>
    <t>2024-09-16 17:00:00+02:00</t>
  </si>
  <si>
    <t>2024-09-16 18:00:00+02:00</t>
  </si>
  <si>
    <t>2024-09-16 19:00:00+02:00</t>
  </si>
  <si>
    <t>2024-09-16 20:00:00+02:00</t>
  </si>
  <si>
    <t>2024-09-16 21:00:00+02:00</t>
  </si>
  <si>
    <t>2024-09-16 22:00:00+02:00</t>
  </si>
  <si>
    <t>2024-09-16 23:00:00+02:00</t>
  </si>
  <si>
    <t>2024-09-17 00:00:00+02:00</t>
  </si>
  <si>
    <t>2024-09-17 01:00:00+02:00</t>
  </si>
  <si>
    <t>2024-09-17 02:00:00+02:00</t>
  </si>
  <si>
    <t>2024-09-17 03:00:00+02:00</t>
  </si>
  <si>
    <t>2024-09-17 04:00:00+02:00</t>
  </si>
  <si>
    <t>2024-09-17 05:00:00+02:00</t>
  </si>
  <si>
    <t>2024-09-17 06:00:00+02:00</t>
  </si>
  <si>
    <t>2024-09-17 07:00:00+02:00</t>
  </si>
  <si>
    <t>2024-09-17 08:00:00+02:00</t>
  </si>
  <si>
    <t>2024-09-17 09:00:00+02:00</t>
  </si>
  <si>
    <t>2024-09-17 10:00:00+02:00</t>
  </si>
  <si>
    <t>2024-09-17 11:00:00+02:00</t>
  </si>
  <si>
    <t>2024-09-17 12:00:00+02:00</t>
  </si>
  <si>
    <t>2024-09-17 13:00:00+02:00</t>
  </si>
  <si>
    <t>2024-09-17 14:00:00+02:00</t>
  </si>
  <si>
    <t>2024-09-17 15:00:00+02:00</t>
  </si>
  <si>
    <t>2024-09-17 16:00:00+02:00</t>
  </si>
  <si>
    <t>2024-09-17 17:00:00+02:00</t>
  </si>
  <si>
    <t>2024-09-17 18:00:00+02:00</t>
  </si>
  <si>
    <t>2024-09-17 19:00:00+02:00</t>
  </si>
  <si>
    <t>2024-09-17 20:00:00+02:00</t>
  </si>
  <si>
    <t>2024-09-17 21:00:00+02:00</t>
  </si>
  <si>
    <t>2024-09-17 22:00:00+02:00</t>
  </si>
  <si>
    <t>2024-09-17 23:00:00+02:00</t>
  </si>
  <si>
    <t>2024-09-18 00:00:00+02:00</t>
  </si>
  <si>
    <t>2024-09-18 01:00:00+02:00</t>
  </si>
  <si>
    <t>2024-09-18 02:00:00+02:00</t>
  </si>
  <si>
    <t>2024-09-18 03:00:00+02:00</t>
  </si>
  <si>
    <t>2024-09-18 04:00:00+02:00</t>
  </si>
  <si>
    <t>2024-09-18 05:00:00+02:00</t>
  </si>
  <si>
    <t>2024-09-18 06:00:00+02:00</t>
  </si>
  <si>
    <t>2024-09-18 07:00:00+02:00</t>
  </si>
  <si>
    <t>2024-09-18 08:00:00+02:00</t>
  </si>
  <si>
    <t>2024-09-18 09:00:00+02:00</t>
  </si>
  <si>
    <t>2024-09-18 10:00:00+02:00</t>
  </si>
  <si>
    <t>2024-09-18 11:00:00+02:00</t>
  </si>
  <si>
    <t>2024-09-18 12:00:00+02:00</t>
  </si>
  <si>
    <t>2024-09-18 13:00:00+02:00</t>
  </si>
  <si>
    <t>2024-09-18 14:00:00+02:00</t>
  </si>
  <si>
    <t>2024-09-18 15:00:00+02:00</t>
  </si>
  <si>
    <t>2024-09-18 16:00:00+02:00</t>
  </si>
  <si>
    <t>2024-09-18 17:00:00+02:00</t>
  </si>
  <si>
    <t>2024-09-18 18:00:00+02:00</t>
  </si>
  <si>
    <t>2024-09-18 19:00:00+02:00</t>
  </si>
  <si>
    <t>2024-09-18 20:00:00+02:00</t>
  </si>
  <si>
    <t>2024-09-18 21:00:00+02:00</t>
  </si>
  <si>
    <t>2024-09-18 22:00:00+02:00</t>
  </si>
  <si>
    <t>2024-09-18 23:00:00+02:00</t>
  </si>
  <si>
    <t>2024-09-19 00:00:00+02:00</t>
  </si>
  <si>
    <t>2024-09-19 01:00:00+02:00</t>
  </si>
  <si>
    <t>2024-09-19 02:00:00+02:00</t>
  </si>
  <si>
    <t>2024-09-19 03:00:00+02:00</t>
  </si>
  <si>
    <t>2024-09-19 04:00:00+02:00</t>
  </si>
  <si>
    <t>2024-09-19 05:00:00+02:00</t>
  </si>
  <si>
    <t>2024-09-19 06:00:00+02:00</t>
  </si>
  <si>
    <t>2024-09-19 07:00:00+02:00</t>
  </si>
  <si>
    <t>2024-09-19 08:00:00+02:00</t>
  </si>
  <si>
    <t>2024-09-19 09:00:00+02:00</t>
  </si>
  <si>
    <t>2024-09-19 10:00:00+02:00</t>
  </si>
  <si>
    <t>2024-09-19 11:00:00+02:00</t>
  </si>
  <si>
    <t>2024-09-19 12:00:00+02:00</t>
  </si>
  <si>
    <t>2024-09-19 13:00:00+02:00</t>
  </si>
  <si>
    <t>2024-09-19 14:00:00+02:00</t>
  </si>
  <si>
    <t>2024-09-19 15:00:00+02:00</t>
  </si>
  <si>
    <t>2024-09-19 16:00:00+02:00</t>
  </si>
  <si>
    <t>2024-09-19 17:00:00+02:00</t>
  </si>
  <si>
    <t>2024-09-19 18:00:00+02:00</t>
  </si>
  <si>
    <t>2024-09-19 19:00:00+02:00</t>
  </si>
  <si>
    <t>2024-09-19 20:00:00+02:00</t>
  </si>
  <si>
    <t>2024-09-19 21:00:00+02:00</t>
  </si>
  <si>
    <t>2024-09-19 22:00:00+02:00</t>
  </si>
  <si>
    <t>2024-09-19 23:00:00+02:00</t>
  </si>
  <si>
    <t>2024-09-20 00:00:00+02:00</t>
  </si>
  <si>
    <t>2024-09-20 01:00:00+02:00</t>
  </si>
  <si>
    <t>2024-09-20 02:00:00+02:00</t>
  </si>
  <si>
    <t>2024-09-20 03:00:00+02:00</t>
  </si>
  <si>
    <t>2024-09-20 04:00:00+02:00</t>
  </si>
  <si>
    <t>2024-09-20 05:00:00+02:00</t>
  </si>
  <si>
    <t>2024-09-20 06:00:00+02:00</t>
  </si>
  <si>
    <t>2024-09-20 07:00:00+02:00</t>
  </si>
  <si>
    <t>2024-09-20 08:00:00+02:00</t>
  </si>
  <si>
    <t>2024-09-20 09:00:00+02:00</t>
  </si>
  <si>
    <t>2024-09-20 10:00:00+02:00</t>
  </si>
  <si>
    <t>2024-09-20 11:00:00+02:00</t>
  </si>
  <si>
    <t>2024-09-20 12:00:00+02:00</t>
  </si>
  <si>
    <t>2024-09-20 13:00:00+02:00</t>
  </si>
  <si>
    <t>2024-09-20 14:00:00+02:00</t>
  </si>
  <si>
    <t>2024-09-20 15:00:00+02:00</t>
  </si>
  <si>
    <t>2024-09-20 16:00:00+02:00</t>
  </si>
  <si>
    <t>2024-09-20 17:00:00+02:00</t>
  </si>
  <si>
    <t>2024-09-20 18:00:00+02:00</t>
  </si>
  <si>
    <t>2024-09-20 19:00:00+02:00</t>
  </si>
  <si>
    <t>2024-09-20 20:00:00+02:00</t>
  </si>
  <si>
    <t>2024-09-20 21:00:00+02:00</t>
  </si>
  <si>
    <t>2024-09-20 22:00:00+02:00</t>
  </si>
  <si>
    <t>2024-09-20 23:00:00+02:00</t>
  </si>
  <si>
    <t>2024-09-21 00:00:00+02:00</t>
  </si>
  <si>
    <t>2024-09-21 01:00:00+02:00</t>
  </si>
  <si>
    <t>2024-09-21 02:00:00+02:00</t>
  </si>
  <si>
    <t>2024-09-21 03:00:00+02:00</t>
  </si>
  <si>
    <t>2024-09-21 04:00:00+02:00</t>
  </si>
  <si>
    <t>2024-09-21 05:00:00+02:00</t>
  </si>
  <si>
    <t>2024-09-21 06:00:00+02:00</t>
  </si>
  <si>
    <t>2024-09-21 07:00:00+02:00</t>
  </si>
  <si>
    <t>2024-09-21 08:00:00+02:00</t>
  </si>
  <si>
    <t>2024-09-21 09:00:00+02:00</t>
  </si>
  <si>
    <t>2024-09-21 10:00:00+02:00</t>
  </si>
  <si>
    <t>2024-09-21 11:00:00+02:00</t>
  </si>
  <si>
    <t>2024-09-21 12:00:00+02:00</t>
  </si>
  <si>
    <t>2024-09-21 13:00:00+02:00</t>
  </si>
  <si>
    <t>2024-09-21 14:00:00+02:00</t>
  </si>
  <si>
    <t>2024-09-21 15:00:00+02:00</t>
  </si>
  <si>
    <t>2024-09-21 16:00:00+02:00</t>
  </si>
  <si>
    <t>2024-09-21 17:00:00+02:00</t>
  </si>
  <si>
    <t>2024-09-21 18:00:00+02:00</t>
  </si>
  <si>
    <t>2024-09-21 19:00:00+02:00</t>
  </si>
  <si>
    <t>2024-09-21 20:00:00+02:00</t>
  </si>
  <si>
    <t>2024-09-21 21:00:00+02:00</t>
  </si>
  <si>
    <t>2024-09-21 22:00:00+02:00</t>
  </si>
  <si>
    <t>2024-09-21 23:00:00+02:00</t>
  </si>
  <si>
    <t>2024-09-22 00:00:00+02:00</t>
  </si>
  <si>
    <t>2024-09-22 01:00:00+02:00</t>
  </si>
  <si>
    <t>2024-09-22 02:00:00+02:00</t>
  </si>
  <si>
    <t>2024-09-22 03:00:00+02:00</t>
  </si>
  <si>
    <t>2024-09-22 04:00:00+02:00</t>
  </si>
  <si>
    <t>2024-09-22 05:00:00+02:00</t>
  </si>
  <si>
    <t>2024-09-22 06:00:00+02:00</t>
  </si>
  <si>
    <t>2024-09-22 07:00:00+02:00</t>
  </si>
  <si>
    <t>2024-09-22 08:00:00+02:00</t>
  </si>
  <si>
    <t>2024-09-22 09:00:00+02:00</t>
  </si>
  <si>
    <t>2024-09-22 10:00:00+02:00</t>
  </si>
  <si>
    <t>2024-09-22 11:00:00+02:00</t>
  </si>
  <si>
    <t>2024-09-22 12:00:00+02:00</t>
  </si>
  <si>
    <t>2024-09-22 13:00:00+02:00</t>
  </si>
  <si>
    <t>2024-09-22 14:00:00+02:00</t>
  </si>
  <si>
    <t>2024-09-22 15:00:00+02:00</t>
  </si>
  <si>
    <t>2024-09-22 16:00:00+02:00</t>
  </si>
  <si>
    <t>2024-09-22 17:00:00+02:00</t>
  </si>
  <si>
    <t>2024-09-22 18:00:00+02:00</t>
  </si>
  <si>
    <t>2024-09-22 19:00:00+02:00</t>
  </si>
  <si>
    <t>2024-09-22 20:00:00+02:00</t>
  </si>
  <si>
    <t>2024-09-22 21:00:00+02:00</t>
  </si>
  <si>
    <t>2024-09-22 22:00:00+02:00</t>
  </si>
  <si>
    <t>2024-09-22 23:00:00+02:00</t>
  </si>
  <si>
    <t>2024-09-23 00:00:00+02:00</t>
  </si>
  <si>
    <t>2024-09-23 01:00:00+02:00</t>
  </si>
  <si>
    <t>2024-09-23 02:00:00+02:00</t>
  </si>
  <si>
    <t>2024-09-23 03:00:00+02:00</t>
  </si>
  <si>
    <t>2024-09-23 04:00:00+02:00</t>
  </si>
  <si>
    <t>2024-09-23 05:00:00+02:00</t>
  </si>
  <si>
    <t>2024-09-23 06:00:00+02:00</t>
  </si>
  <si>
    <t>2024-09-23 07:00:00+02:00</t>
  </si>
  <si>
    <t>2024-09-23 08:00:00+02:00</t>
  </si>
  <si>
    <t>2024-09-23 09:00:00+02:00</t>
  </si>
  <si>
    <t>2024-09-23 10:00:00+02:00</t>
  </si>
  <si>
    <t>2024-09-23 11:00:00+02:00</t>
  </si>
  <si>
    <t>2024-09-23 12:00:00+02:00</t>
  </si>
  <si>
    <t>2024-09-23 13:00:00+02:00</t>
  </si>
  <si>
    <t>2024-09-23 14:00:00+02:00</t>
  </si>
  <si>
    <t>2024-09-23 15:00:00+02:00</t>
  </si>
  <si>
    <t>2024-09-23 16:00:00+02:00</t>
  </si>
  <si>
    <t>2024-09-23 17:00:00+02:00</t>
  </si>
  <si>
    <t>2024-09-23 18:00:00+02:00</t>
  </si>
  <si>
    <t>2024-09-23 19:00:00+02:00</t>
  </si>
  <si>
    <t>2024-09-23 20:00:00+02:00</t>
  </si>
  <si>
    <t>2024-09-23 21:00:00+02:00</t>
  </si>
  <si>
    <t>2024-09-23 22:00:00+02:00</t>
  </si>
  <si>
    <t>2024-09-23 23:00:00+02:00</t>
  </si>
  <si>
    <t>2024-09-24 00:00:00+02:00</t>
  </si>
  <si>
    <t>2024-09-24 01:00:00+02:00</t>
  </si>
  <si>
    <t>2024-09-24 02:00:00+02:00</t>
  </si>
  <si>
    <t>2024-09-24 03:00:00+02:00</t>
  </si>
  <si>
    <t>2024-09-24 04:00:00+02:00</t>
  </si>
  <si>
    <t>2024-09-24 05:00:00+02:00</t>
  </si>
  <si>
    <t>2024-09-24 06:00:00+02:00</t>
  </si>
  <si>
    <t>2024-09-24 07:00:00+02:00</t>
  </si>
  <si>
    <t>2024-09-24 08:00:00+02:00</t>
  </si>
  <si>
    <t>2024-09-24 09:00:00+02:00</t>
  </si>
  <si>
    <t>2024-09-24 10:00:00+02:00</t>
  </si>
  <si>
    <t>2024-09-24 11:00:00+02:00</t>
  </si>
  <si>
    <t>2024-09-24 12:00:00+02:00</t>
  </si>
  <si>
    <t>2024-09-24 13:00:00+02:00</t>
  </si>
  <si>
    <t>2024-09-24 14:00:00+02:00</t>
  </si>
  <si>
    <t>2024-09-24 15:00:00+02:00</t>
  </si>
  <si>
    <t>2024-09-24 16:00:00+02:00</t>
  </si>
  <si>
    <t>2024-09-24 17:00:00+02:00</t>
  </si>
  <si>
    <t>2024-09-24 18:00:00+02:00</t>
  </si>
  <si>
    <t>2024-09-24 19:00:00+02:00</t>
  </si>
  <si>
    <t>2024-09-24 20:00:00+02:00</t>
  </si>
  <si>
    <t>2024-09-24 21:00:00+02:00</t>
  </si>
  <si>
    <t>2024-09-24 22:00:00+02:00</t>
  </si>
  <si>
    <t>2024-09-24 23:00:00+02:00</t>
  </si>
  <si>
    <t>2024-09-25 00:00:00+02:00</t>
  </si>
  <si>
    <t>2024-09-25 01:00:00+02:00</t>
  </si>
  <si>
    <t>2024-09-25 02:00:00+02:00</t>
  </si>
  <si>
    <t>2024-09-25 03:00:00+02:00</t>
  </si>
  <si>
    <t>2024-09-25 04:00:00+02:00</t>
  </si>
  <si>
    <t>2024-09-25 05:00:00+02:00</t>
  </si>
  <si>
    <t>2024-09-25 06:00:00+02:00</t>
  </si>
  <si>
    <t>2024-09-25 07:00:00+02:00</t>
  </si>
  <si>
    <t>2024-09-25 08:00:00+02:00</t>
  </si>
  <si>
    <t>2024-09-25 09:00:00+02:00</t>
  </si>
  <si>
    <t>2024-09-25 10:00:00+02:00</t>
  </si>
  <si>
    <t>2024-09-25 11:00:00+02:00</t>
  </si>
  <si>
    <t>2024-09-25 12:00:00+02:00</t>
  </si>
  <si>
    <t>2024-09-25 13:00:00+02:00</t>
  </si>
  <si>
    <t>2024-09-25 14:00:00+02:00</t>
  </si>
  <si>
    <t>2024-09-25 15:00:00+02:00</t>
  </si>
  <si>
    <t>2024-09-25 16:00:00+02:00</t>
  </si>
  <si>
    <t>2024-09-25 17:00:00+02:00</t>
  </si>
  <si>
    <t>2024-09-25 18:00:00+02:00</t>
  </si>
  <si>
    <t>2024-09-25 19:00:00+02:00</t>
  </si>
  <si>
    <t>2024-09-25 20:00:00+02:00</t>
  </si>
  <si>
    <t>2024-09-25 21:00:00+02:00</t>
  </si>
  <si>
    <t>2024-09-25 22:00:00+02:00</t>
  </si>
  <si>
    <t>2024-09-25 23:00:00+02:00</t>
  </si>
  <si>
    <t>2024-09-26 00:00:00+02:00</t>
  </si>
  <si>
    <t>2024-09-26 01:00:00+02:00</t>
  </si>
  <si>
    <t>2024-09-26 02:00:00+02:00</t>
  </si>
  <si>
    <t>2024-09-26 03:00:00+02:00</t>
  </si>
  <si>
    <t>2024-09-26 04:00:00+02:00</t>
  </si>
  <si>
    <t>2024-09-26 05:00:00+02:00</t>
  </si>
  <si>
    <t>2024-09-26 06:00:00+02:00</t>
  </si>
  <si>
    <t>2024-09-26 07:00:00+02:00</t>
  </si>
  <si>
    <t>2024-09-26 08:00:00+02:00</t>
  </si>
  <si>
    <t>2024-09-26 09:00:00+02:00</t>
  </si>
  <si>
    <t>2024-09-26 10:00:00+02:00</t>
  </si>
  <si>
    <t>2024-09-26 11:00:00+02:00</t>
  </si>
  <si>
    <t>2024-09-26 12:00:00+02:00</t>
  </si>
  <si>
    <t>2024-09-26 13:00:00+02:00</t>
  </si>
  <si>
    <t>2024-09-26 14:00:00+02:00</t>
  </si>
  <si>
    <t>2024-09-26 15:00:00+02:00</t>
  </si>
  <si>
    <t>2024-09-26 16:00:00+02:00</t>
  </si>
  <si>
    <t>2024-09-26 17:00:00+02:00</t>
  </si>
  <si>
    <t>2024-09-26 18:00:00+02:00</t>
  </si>
  <si>
    <t>2024-09-26 19:00:00+02:00</t>
  </si>
  <si>
    <t>2024-09-26 20:00:00+02:00</t>
  </si>
  <si>
    <t>2024-09-26 21:00:00+02:00</t>
  </si>
  <si>
    <t>2024-09-26 22:00:00+02:00</t>
  </si>
  <si>
    <t>2024-09-26 23:00:00+02:00</t>
  </si>
  <si>
    <t>2024-09-27 00:00:00+02:00</t>
  </si>
  <si>
    <t>2024-09-27 01:00:00+02:00</t>
  </si>
  <si>
    <t>2024-09-27 02:00:00+02:00</t>
  </si>
  <si>
    <t>2024-09-27 03:00:00+02:00</t>
  </si>
  <si>
    <t>2024-09-27 04:00:00+02:00</t>
  </si>
  <si>
    <t>2024-09-27 05:00:00+02:00</t>
  </si>
  <si>
    <t>2024-09-27 06:00:00+02:00</t>
  </si>
  <si>
    <t>2024-09-27 07:00:00+02:00</t>
  </si>
  <si>
    <t>2024-09-27 08:00:00+02:00</t>
  </si>
  <si>
    <t>2024-09-27 09:00:00+02:00</t>
  </si>
  <si>
    <t>2024-09-27 10:00:00+02:00</t>
  </si>
  <si>
    <t>2024-09-27 11:00:00+02:00</t>
  </si>
  <si>
    <t>2024-09-27 12:00:00+02:00</t>
  </si>
  <si>
    <t>2024-09-27 13:00:00+02:00</t>
  </si>
  <si>
    <t>2024-09-27 14:00:00+02:00</t>
  </si>
  <si>
    <t>2024-09-27 15:00:00+02:00</t>
  </si>
  <si>
    <t>2024-09-27 16:00:00+02:00</t>
  </si>
  <si>
    <t>2024-09-27 17:00:00+02:00</t>
  </si>
  <si>
    <t>2024-09-27 18:00:00+02:00</t>
  </si>
  <si>
    <t>2024-09-27 19:00:00+02:00</t>
  </si>
  <si>
    <t>2024-09-27 20:00:00+02:00</t>
  </si>
  <si>
    <t>2024-09-27 21:00:00+02:00</t>
  </si>
  <si>
    <t>2024-09-27 22:00:00+02:00</t>
  </si>
  <si>
    <t>2024-09-27 23:00:00+02:00</t>
  </si>
  <si>
    <t>2024-09-28 00:00:00+02:00</t>
  </si>
  <si>
    <t>2024-09-28 01:00:00+02:00</t>
  </si>
  <si>
    <t>2024-09-28 02:00:00+02:00</t>
  </si>
  <si>
    <t>2024-09-28 03:00:00+02:00</t>
  </si>
  <si>
    <t>2024-09-28 04:00:00+02:00</t>
  </si>
  <si>
    <t>2024-09-28 05:00:00+02:00</t>
  </si>
  <si>
    <t>2024-09-28 06:00:00+02:00</t>
  </si>
  <si>
    <t>2024-09-28 07:00:00+02:00</t>
  </si>
  <si>
    <t>2024-09-28 08:00:00+02:00</t>
  </si>
  <si>
    <t>2024-09-28 09:00:00+02:00</t>
  </si>
  <si>
    <t>2024-09-28 10:00:00+02:00</t>
  </si>
  <si>
    <t>2024-09-28 11:00:00+02:00</t>
  </si>
  <si>
    <t>2024-09-28 12:00:00+02:00</t>
  </si>
  <si>
    <t>2024-09-28 13:00:00+02:00</t>
  </si>
  <si>
    <t>2024-09-28 14:00:00+02:00</t>
  </si>
  <si>
    <t>2024-09-28 15:00:00+02:00</t>
  </si>
  <si>
    <t>2024-09-28 16:00:00+02:00</t>
  </si>
  <si>
    <t>2024-09-28 17:00:00+02:00</t>
  </si>
  <si>
    <t>2024-09-28 18:00:00+02:00</t>
  </si>
  <si>
    <t>2024-09-28 19:00:00+02:00</t>
  </si>
  <si>
    <t>2024-09-28 20:00:00+02:00</t>
  </si>
  <si>
    <t>2024-09-28 21:00:00+02:00</t>
  </si>
  <si>
    <t>2024-09-28 22:00:00+02:00</t>
  </si>
  <si>
    <t>2024-09-28 23:00:00+02:00</t>
  </si>
  <si>
    <t>2024-09-29 00:00:00+02:00</t>
  </si>
  <si>
    <t>2024-09-29 01:00:00+02:00</t>
  </si>
  <si>
    <t>2024-09-29 02:00:00+02:00</t>
  </si>
  <si>
    <t>2024-09-29 03:00:00+02:00</t>
  </si>
  <si>
    <t>2024-09-29 04:00:00+02:00</t>
  </si>
  <si>
    <t>2024-09-29 05:00:00+02:00</t>
  </si>
  <si>
    <t>2024-09-29 06:00:00+02:00</t>
  </si>
  <si>
    <t>2024-09-29 07:00:00+02:00</t>
  </si>
  <si>
    <t>2024-09-29 08:00:00+02:00</t>
  </si>
  <si>
    <t>2024-09-29 09:00:00+02:00</t>
  </si>
  <si>
    <t>2024-09-29 10:00:00+02:00</t>
  </si>
  <si>
    <t>2024-09-29 11:00:00+02:00</t>
  </si>
  <si>
    <t>2024-09-29 12:00:00+02:00</t>
  </si>
  <si>
    <t>2024-09-29 13:00:00+02:00</t>
  </si>
  <si>
    <t>2024-09-29 14:00:00+02:00</t>
  </si>
  <si>
    <t>2024-09-29 15:00:00+02:00</t>
  </si>
  <si>
    <t>2024-09-29 16:00:00+02:00</t>
  </si>
  <si>
    <t>2024-09-29 17:00:00+02:00</t>
  </si>
  <si>
    <t>2024-09-29 18:00:00+02:00</t>
  </si>
  <si>
    <t>2024-09-29 19:00:00+02:00</t>
  </si>
  <si>
    <t>2024-09-29 20:00:00+02:00</t>
  </si>
  <si>
    <t>2024-09-29 21:00:00+02:00</t>
  </si>
  <si>
    <t>2024-09-29 22:00:00+02:00</t>
  </si>
  <si>
    <t>2024-09-29 23:00:00+02:00</t>
  </si>
  <si>
    <t>2024-09-30 00:00:00+02:00</t>
  </si>
  <si>
    <t>2024-09-30 01:00:00+02:00</t>
  </si>
  <si>
    <t>2024-09-30 02:00:00+02:00</t>
  </si>
  <si>
    <t>2024-09-30 03:00:00+02:00</t>
  </si>
  <si>
    <t>2024-09-30 04:00:00+02:00</t>
  </si>
  <si>
    <t>2024-09-30 05:00:00+02:00</t>
  </si>
  <si>
    <t>2024-09-30 06:00:00+02:00</t>
  </si>
  <si>
    <t>2024-09-30 07:00:00+02:00</t>
  </si>
  <si>
    <t>2024-09-30 08:00:00+02:00</t>
  </si>
  <si>
    <t>2024-09-30 09:00:00+02:00</t>
  </si>
  <si>
    <t>2024-09-30 10:00:00+02:00</t>
  </si>
  <si>
    <t>2024-09-30 11:00:00+02:00</t>
  </si>
  <si>
    <t>2024-09-30 12:00:00+02:00</t>
  </si>
  <si>
    <t>2024-09-30 13:00:00+02:00</t>
  </si>
  <si>
    <t>2024-09-30 14:00:00+02:00</t>
  </si>
  <si>
    <t>2024-09-30 15:00:00+02:00</t>
  </si>
  <si>
    <t>2024-09-30 16:00:00+02:00</t>
  </si>
  <si>
    <t>2024-09-30 17:00:00+02:00</t>
  </si>
  <si>
    <t>2024-09-30 18:00:00+02:00</t>
  </si>
  <si>
    <t>2024-09-30 19:00:00+02:00</t>
  </si>
  <si>
    <t>2024-09-30 20:00:00+02:00</t>
  </si>
  <si>
    <t>2024-09-30 21:00:00+02:00</t>
  </si>
  <si>
    <t>2024-09-30 22:00:00+02:00</t>
  </si>
  <si>
    <t>2024-09-30 23:00:00+02:00</t>
  </si>
  <si>
    <t>Cambio &lt;0 por 0</t>
  </si>
  <si>
    <t>Columna B de Predicciones</t>
  </si>
  <si>
    <t>FORECAST</t>
  </si>
  <si>
    <t>DIFF</t>
  </si>
  <si>
    <t>DIFF ABS</t>
  </si>
  <si>
    <t>CONSUMIDO FOTOVOLTAICA FABRICA REAL</t>
  </si>
  <si>
    <t>suma</t>
  </si>
  <si>
    <t>Está alimentado?</t>
  </si>
  <si>
    <t>Estudiantes predicen</t>
  </si>
  <si>
    <t>count</t>
  </si>
  <si>
    <t>underutilization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</si>
</sst>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13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0"/>
      <name val="Calibri"/>
    </font>
    <font>
      <b/>
      <sz val="14.0"/>
      <color theme="1"/>
      <name val="Calibri"/>
    </font>
    <font>
      <b/>
      <sz val="18.0"/>
      <color theme="0"/>
      <name val="Calibri"/>
    </font>
    <font>
      <b/>
      <sz val="18.0"/>
      <color rgb="FFC00000"/>
      <name val="Calibri"/>
    </font>
    <font>
      <b/>
      <sz val="11.0"/>
      <color rgb="FFC00000"/>
      <name val="Calibri"/>
    </font>
    <font>
      <sz val="9.0"/>
      <color rgb="FFBCBEC4"/>
      <name val="JetBrains Mono"/>
    </font>
    <font>
      <b/>
      <sz val="18.0"/>
      <color theme="1"/>
      <name val="Calibri"/>
    </font>
    <font>
      <b/>
      <sz val="11.0"/>
      <color rgb="FFFF0000"/>
      <name val="Calibri"/>
    </font>
    <font>
      <b/>
      <sz val="18.0"/>
      <color rgb="FFFF0000"/>
      <name val="Calibri"/>
    </font>
    <font>
      <sz val="11.0"/>
      <color rgb="FF000000"/>
      <name val="Calibri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left"/>
    </xf>
    <xf borderId="1" fillId="2" fontId="2" numFmtId="0" xfId="0" applyBorder="1" applyFont="1"/>
    <xf borderId="1" fillId="2" fontId="3" numFmtId="0" xfId="0" applyAlignment="1" applyBorder="1" applyFont="1">
      <alignment horizontal="right" shrinkToFit="0" wrapText="1"/>
    </xf>
    <xf borderId="1" fillId="2" fontId="4" numFmtId="0" xfId="0" applyBorder="1" applyFont="1"/>
    <xf borderId="1" fillId="2" fontId="5" numFmtId="164" xfId="0" applyAlignment="1" applyBorder="1" applyFont="1" applyNumberFormat="1">
      <alignment horizontal="left"/>
    </xf>
    <xf borderId="1" fillId="2" fontId="6" numFmtId="0" xfId="0" applyBorder="1" applyFont="1"/>
    <xf borderId="1" fillId="2" fontId="4" numFmtId="0" xfId="0" applyAlignment="1" applyBorder="1" applyFont="1">
      <alignment shrinkToFit="0" wrapText="1"/>
    </xf>
    <xf borderId="1" fillId="3" fontId="1" numFmtId="0" xfId="0" applyBorder="1" applyFill="1" applyFont="1"/>
    <xf borderId="2" fillId="0" fontId="7" numFmtId="0" xfId="0" applyAlignment="1" applyBorder="1" applyFont="1">
      <alignment horizontal="left" readingOrder="1"/>
    </xf>
    <xf borderId="1" fillId="2" fontId="8" numFmtId="0" xfId="0" applyBorder="1" applyFont="1"/>
    <xf borderId="1" fillId="2" fontId="9" numFmtId="0" xfId="0" applyBorder="1" applyFont="1"/>
    <xf borderId="2" fillId="0" fontId="7" numFmtId="11" xfId="0" applyAlignment="1" applyBorder="1" applyFont="1" applyNumberFormat="1">
      <alignment horizontal="left" readingOrder="1"/>
    </xf>
    <xf borderId="1" fillId="2" fontId="10" numFmtId="164" xfId="0" applyAlignment="1" applyBorder="1" applyFont="1" applyNumberFormat="1">
      <alignment horizontal="left"/>
    </xf>
    <xf borderId="2" fillId="0" fontId="7" numFmtId="3" xfId="0" applyAlignment="1" applyBorder="1" applyFont="1" applyNumberFormat="1">
      <alignment horizontal="left" readingOrder="1"/>
    </xf>
    <xf borderId="0" fillId="0" fontId="11" numFmtId="0" xfId="0" applyFont="1"/>
    <xf borderId="1" fillId="3" fontId="11" numFmtId="0" xfId="0" applyBorder="1" applyFont="1"/>
    <xf borderId="0" fillId="0" fontId="12" numFmtId="0" xfId="0" applyFont="1"/>
    <xf borderId="1" fillId="3" fontId="12" numFmtId="0" xfId="0" applyBorder="1" applyFont="1"/>
    <xf borderId="0" fillId="0" fontId="11" numFmtId="11" xfId="0" applyFont="1" applyNumberFormat="1"/>
    <xf borderId="0" fillId="0" fontId="11" numFmtId="3" xfId="0" applyFont="1" applyNumberFormat="1"/>
    <xf borderId="0" fillId="0" fontId="12" numFmtId="0" xfId="0" applyAlignment="1" applyFont="1">
      <alignment horizontal="right"/>
    </xf>
    <xf borderId="0" fillId="0" fontId="11" numFmtId="0" xfId="0" applyAlignment="1" applyFont="1">
      <alignment horizontal="right"/>
    </xf>
    <xf borderId="1" fillId="4" fontId="12" numFmtId="0" xfId="0" applyBorder="1" applyFill="1" applyFont="1"/>
    <xf borderId="1" fillId="4" fontId="11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1</xdr:row>
      <xdr:rowOff>161925</xdr:rowOff>
    </xdr:from>
    <xdr:ext cx="5562600" cy="771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9.14"/>
    <col customWidth="1" min="4" max="4" width="27.86"/>
    <col customWidth="1" min="5" max="5" width="53.71"/>
    <col customWidth="1" min="6" max="6" width="7.43"/>
    <col customWidth="1" min="7" max="7" width="13.43"/>
    <col customWidth="1" min="8" max="8" width="28.29"/>
    <col customWidth="1" min="9" max="9" width="4.14"/>
    <col customWidth="1" min="10" max="10" width="34.86"/>
    <col customWidth="1" min="11" max="11" width="37.43"/>
    <col customWidth="1" min="12" max="26" width="9.14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65.25" customHeight="1">
      <c r="A6" s="1"/>
      <c r="B6" s="1"/>
      <c r="C6" s="1"/>
      <c r="D6" s="3" t="s">
        <v>0</v>
      </c>
      <c r="E6" s="4" t="s">
        <v>1</v>
      </c>
      <c r="F6" s="1"/>
      <c r="G6" s="5" t="s">
        <v>2</v>
      </c>
      <c r="H6" s="6">
        <f>Hoja1!G982</f>
        <v>35.88198921</v>
      </c>
      <c r="I6" s="7"/>
      <c r="J6" s="8" t="s">
        <v>3</v>
      </c>
      <c r="K6" s="6">
        <f>Hoja1!L983</f>
        <v>-21320.01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9" t="s">
        <v>4</v>
      </c>
      <c r="E7" s="10">
        <v>0.08440452</v>
      </c>
      <c r="F7" s="1"/>
      <c r="G7" s="1"/>
      <c r="H7" s="2"/>
      <c r="I7" s="1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9" t="s">
        <v>5</v>
      </c>
      <c r="E8" s="10">
        <v>0.08440452</v>
      </c>
      <c r="F8" s="1"/>
      <c r="G8" s="12" t="s">
        <v>6</v>
      </c>
      <c r="H8" s="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9" t="s">
        <v>7</v>
      </c>
      <c r="E9" s="13">
        <v>0.08440452</v>
      </c>
      <c r="F9" s="1"/>
      <c r="G9" s="1"/>
      <c r="H9" s="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9" t="s">
        <v>8</v>
      </c>
      <c r="E10" s="13">
        <v>0.08440452</v>
      </c>
      <c r="F10" s="1"/>
      <c r="G10" s="1"/>
      <c r="H10" s="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9" t="s">
        <v>9</v>
      </c>
      <c r="E11" s="13">
        <v>0.08440452</v>
      </c>
      <c r="F11" s="1"/>
      <c r="G11" s="1"/>
      <c r="H11" s="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9" t="s">
        <v>10</v>
      </c>
      <c r="E12" s="13">
        <v>0.08440452</v>
      </c>
      <c r="F12" s="1"/>
      <c r="G12" s="1"/>
      <c r="H12" s="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1"/>
      <c r="D13" s="9" t="s">
        <v>11</v>
      </c>
      <c r="E13" s="13">
        <v>0.08440452</v>
      </c>
      <c r="F13" s="1"/>
      <c r="G13" s="1"/>
      <c r="H13" s="1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9" t="s">
        <v>12</v>
      </c>
      <c r="E14" s="13">
        <v>0.08440452</v>
      </c>
      <c r="F14" s="1"/>
      <c r="G14" s="1"/>
      <c r="H14" s="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1"/>
      <c r="C15" s="1"/>
      <c r="D15" s="9" t="s">
        <v>13</v>
      </c>
      <c r="E15" s="10">
        <v>0.08440452</v>
      </c>
      <c r="F15" s="1"/>
      <c r="G15" s="1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9" t="s">
        <v>14</v>
      </c>
      <c r="E16" s="15">
        <v>0.17382896</v>
      </c>
      <c r="F16" s="1"/>
      <c r="G16" s="1"/>
      <c r="H16" s="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9" t="s">
        <v>15</v>
      </c>
      <c r="E17" s="15">
        <v>-0.21254729</v>
      </c>
      <c r="F17" s="1"/>
      <c r="G17" s="1"/>
      <c r="H17" s="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9" t="s">
        <v>16</v>
      </c>
      <c r="E18" s="10">
        <v>-0.11253366</v>
      </c>
      <c r="F18" s="1"/>
      <c r="G18" s="1"/>
      <c r="H18" s="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9" t="s">
        <v>17</v>
      </c>
      <c r="E19" s="10">
        <v>-0.11253366</v>
      </c>
      <c r="F19" s="1"/>
      <c r="G19" s="1"/>
      <c r="H19" s="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9" t="s">
        <v>18</v>
      </c>
      <c r="E20" s="10">
        <v>-0.11253366</v>
      </c>
      <c r="F20" s="1"/>
      <c r="G20" s="1"/>
      <c r="H20" s="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9" t="s">
        <v>19</v>
      </c>
      <c r="E21" s="10">
        <v>-0.11253366</v>
      </c>
      <c r="F21" s="1"/>
      <c r="G21" s="1"/>
      <c r="H21" s="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9" t="s">
        <v>20</v>
      </c>
      <c r="E22" s="15">
        <v>-0.11253366</v>
      </c>
      <c r="F22" s="1"/>
      <c r="G22" s="1"/>
      <c r="H22" s="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9" t="s">
        <v>21</v>
      </c>
      <c r="E23" s="15">
        <v>-0.11253366</v>
      </c>
      <c r="F23" s="1"/>
      <c r="G23" s="1"/>
      <c r="H23" s="2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9" t="s">
        <v>22</v>
      </c>
      <c r="E24" s="10">
        <v>-0.11253366</v>
      </c>
      <c r="F24" s="1"/>
      <c r="G24" s="1"/>
      <c r="H24" s="2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9" t="s">
        <v>23</v>
      </c>
      <c r="E25" s="10">
        <v>-0.07458061</v>
      </c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9" t="s">
        <v>24</v>
      </c>
      <c r="E26" s="15">
        <v>0.15714432</v>
      </c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9" t="s">
        <v>25</v>
      </c>
      <c r="E27" s="10">
        <v>0.124860086</v>
      </c>
      <c r="F27" s="1"/>
      <c r="G27" s="1"/>
      <c r="H27" s="2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9" t="s">
        <v>26</v>
      </c>
      <c r="E28" s="10">
        <v>0.15972464</v>
      </c>
      <c r="F28" s="1"/>
      <c r="G28" s="1"/>
      <c r="H28" s="2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9" t="s">
        <v>27</v>
      </c>
      <c r="E29" s="10">
        <v>0.1681821</v>
      </c>
      <c r="F29" s="1"/>
      <c r="G29" s="1"/>
      <c r="H29" s="2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9" t="s">
        <v>28</v>
      </c>
      <c r="E30" s="10">
        <v>0.1681821</v>
      </c>
      <c r="F30" s="1"/>
      <c r="G30" s="1"/>
      <c r="H30" s="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9" t="s">
        <v>29</v>
      </c>
      <c r="E31" s="10">
        <v>0.07803707</v>
      </c>
      <c r="F31" s="1"/>
      <c r="G31" s="1"/>
      <c r="H31" s="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9" t="s">
        <v>30</v>
      </c>
      <c r="E32" s="13">
        <v>0.07803707</v>
      </c>
      <c r="F32" s="1"/>
      <c r="G32" s="1"/>
      <c r="H32" s="2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9" t="s">
        <v>31</v>
      </c>
      <c r="E33" s="10">
        <v>0.07803707</v>
      </c>
      <c r="F33" s="1"/>
      <c r="G33" s="1"/>
      <c r="H33" s="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9" t="s">
        <v>32</v>
      </c>
      <c r="E34" s="13">
        <v>0.07803707</v>
      </c>
      <c r="F34" s="1"/>
      <c r="G34" s="1"/>
      <c r="H34" s="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9" t="s">
        <v>33</v>
      </c>
      <c r="E35" s="13">
        <v>0.07803707</v>
      </c>
      <c r="F35" s="1"/>
      <c r="G35" s="1"/>
      <c r="H35" s="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9" t="s">
        <v>34</v>
      </c>
      <c r="E36" s="13">
        <v>0.07803707</v>
      </c>
      <c r="F36" s="1"/>
      <c r="G36" s="1"/>
      <c r="H36" s="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9" t="s">
        <v>35</v>
      </c>
      <c r="E37" s="13">
        <v>0.07803707</v>
      </c>
      <c r="F37" s="1"/>
      <c r="G37" s="1"/>
      <c r="H37" s="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9" t="s">
        <v>36</v>
      </c>
      <c r="E38" s="13">
        <v>0.07803707</v>
      </c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9" t="s">
        <v>37</v>
      </c>
      <c r="E39" s="15">
        <v>0.07803707</v>
      </c>
      <c r="F39" s="1"/>
      <c r="G39" s="1"/>
      <c r="H39" s="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9" t="s">
        <v>38</v>
      </c>
      <c r="E40" s="15">
        <v>0.1674615</v>
      </c>
      <c r="F40" s="1"/>
      <c r="G40" s="1"/>
      <c r="H40" s="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9" t="s">
        <v>39</v>
      </c>
      <c r="E41" s="15">
        <v>-0.3584563</v>
      </c>
      <c r="F41" s="1"/>
      <c r="G41" s="1"/>
      <c r="H41" s="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9" t="s">
        <v>40</v>
      </c>
      <c r="E42" s="15">
        <v>-0.75584877</v>
      </c>
      <c r="F42" s="1"/>
      <c r="G42" s="1"/>
      <c r="H42" s="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9" t="s">
        <v>41</v>
      </c>
      <c r="E43" s="15">
        <v>-0.75584877</v>
      </c>
      <c r="F43" s="1"/>
      <c r="G43" s="1"/>
      <c r="H43" s="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9" t="s">
        <v>42</v>
      </c>
      <c r="E44" s="15">
        <v>-0.75584877</v>
      </c>
      <c r="F44" s="1"/>
      <c r="G44" s="1"/>
      <c r="H44" s="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9" t="s">
        <v>43</v>
      </c>
      <c r="E45" s="15">
        <v>-0.75584877</v>
      </c>
      <c r="F45" s="1"/>
      <c r="G45" s="1"/>
      <c r="H45" s="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9" t="s">
        <v>44</v>
      </c>
      <c r="E46" s="15">
        <v>-0.75584877</v>
      </c>
      <c r="F46" s="1"/>
      <c r="G46" s="1"/>
      <c r="H46" s="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9" t="s">
        <v>45</v>
      </c>
      <c r="E47" s="15">
        <v>-0.75584877</v>
      </c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9" t="s">
        <v>46</v>
      </c>
      <c r="E48" s="15">
        <v>-0.75584877</v>
      </c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9" t="s">
        <v>47</v>
      </c>
      <c r="E49" s="15">
        <v>-0.6654217</v>
      </c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9" t="s">
        <v>48</v>
      </c>
      <c r="E50" s="15">
        <v>-0.26293567</v>
      </c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9" t="s">
        <v>49</v>
      </c>
      <c r="E51" s="15">
        <v>-0.025769169</v>
      </c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9" t="s">
        <v>50</v>
      </c>
      <c r="E52" s="15">
        <v>0.1405675</v>
      </c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9" t="s">
        <v>51</v>
      </c>
      <c r="E53" s="15">
        <v>0.14902496</v>
      </c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9" t="s">
        <v>52</v>
      </c>
      <c r="E54" s="15">
        <v>0.14902496</v>
      </c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9" t="s">
        <v>53</v>
      </c>
      <c r="E55" s="13">
        <v>0.07803707</v>
      </c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9" t="s">
        <v>54</v>
      </c>
      <c r="E56" s="15">
        <v>0.07803707</v>
      </c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9" t="s">
        <v>55</v>
      </c>
      <c r="E57" s="13">
        <v>0.07803707</v>
      </c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9" t="s">
        <v>56</v>
      </c>
      <c r="E58" s="13">
        <v>0.07803707</v>
      </c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9" t="s">
        <v>57</v>
      </c>
      <c r="E59" s="13">
        <v>0.07803707</v>
      </c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9" t="s">
        <v>58</v>
      </c>
      <c r="E60" s="13">
        <v>0.07803707</v>
      </c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9" t="s">
        <v>59</v>
      </c>
      <c r="E61" s="13">
        <v>0.07803707</v>
      </c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9" t="s">
        <v>60</v>
      </c>
      <c r="E62" s="13">
        <v>0.07803707</v>
      </c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9" t="s">
        <v>61</v>
      </c>
      <c r="E63" s="10">
        <v>0.07803707</v>
      </c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9" t="s">
        <v>62</v>
      </c>
      <c r="E64" s="15">
        <v>0.1674615</v>
      </c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9" t="s">
        <v>63</v>
      </c>
      <c r="E65" s="15">
        <v>-0.3584563</v>
      </c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9" t="s">
        <v>64</v>
      </c>
      <c r="E66" s="15">
        <v>-0.75584877</v>
      </c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9" t="s">
        <v>65</v>
      </c>
      <c r="E67" s="15">
        <v>-0.75584877</v>
      </c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9" t="s">
        <v>66</v>
      </c>
      <c r="E68" s="15">
        <v>-0.75584877</v>
      </c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9" t="s">
        <v>67</v>
      </c>
      <c r="E69" s="15">
        <v>-0.75584877</v>
      </c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9" t="s">
        <v>68</v>
      </c>
      <c r="E70" s="15">
        <v>-0.75584877</v>
      </c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9" t="s">
        <v>69</v>
      </c>
      <c r="E71" s="15">
        <v>-0.75584877</v>
      </c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9" t="s">
        <v>70</v>
      </c>
      <c r="E72" s="15">
        <v>-0.75584877</v>
      </c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9" t="s">
        <v>71</v>
      </c>
      <c r="E73" s="15">
        <v>-0.6654217</v>
      </c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9" t="s">
        <v>72</v>
      </c>
      <c r="E74" s="15">
        <v>-0.26293567</v>
      </c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9" t="s">
        <v>73</v>
      </c>
      <c r="E75" s="10">
        <v>-0.025769169</v>
      </c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9" t="s">
        <v>74</v>
      </c>
      <c r="E76" s="10">
        <v>0.1405675</v>
      </c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9" t="s">
        <v>75</v>
      </c>
      <c r="E77" s="10">
        <v>0.14902496</v>
      </c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9" t="s">
        <v>76</v>
      </c>
      <c r="E78" s="10">
        <v>0.14902496</v>
      </c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9" t="s">
        <v>77</v>
      </c>
      <c r="E79" s="13">
        <v>0.07803707</v>
      </c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9" t="s">
        <v>78</v>
      </c>
      <c r="E80" s="10">
        <v>0.07803707</v>
      </c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9" t="s">
        <v>79</v>
      </c>
      <c r="E81" s="10">
        <v>0.07803707</v>
      </c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9" t="s">
        <v>80</v>
      </c>
      <c r="E82" s="13">
        <v>0.07803707</v>
      </c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9" t="s">
        <v>81</v>
      </c>
      <c r="E83" s="13">
        <v>0.07803707</v>
      </c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9" t="s">
        <v>82</v>
      </c>
      <c r="E84" s="13">
        <v>0.07803707</v>
      </c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9" t="s">
        <v>83</v>
      </c>
      <c r="E85" s="13">
        <v>0.07803707</v>
      </c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9" t="s">
        <v>84</v>
      </c>
      <c r="E86" s="13">
        <v>0.07803707</v>
      </c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9" t="s">
        <v>85</v>
      </c>
      <c r="E87" s="10">
        <v>0.07803707</v>
      </c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9" t="s">
        <v>86</v>
      </c>
      <c r="E88" s="15">
        <v>0.1674615</v>
      </c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9" t="s">
        <v>87</v>
      </c>
      <c r="E89" s="15">
        <v>-0.3584563</v>
      </c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9" t="s">
        <v>88</v>
      </c>
      <c r="E90" s="15">
        <v>-0.75584877</v>
      </c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9" t="s">
        <v>89</v>
      </c>
      <c r="E91" s="15">
        <v>-0.75584877</v>
      </c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9" t="s">
        <v>90</v>
      </c>
      <c r="E92" s="15">
        <v>-0.75584877</v>
      </c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9" t="s">
        <v>91</v>
      </c>
      <c r="E93" s="15">
        <v>-0.75584877</v>
      </c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9" t="s">
        <v>92</v>
      </c>
      <c r="E94" s="15">
        <v>-0.75584877</v>
      </c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9" t="s">
        <v>93</v>
      </c>
      <c r="E95" s="15">
        <v>-0.75584877</v>
      </c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9" t="s">
        <v>94</v>
      </c>
      <c r="E96" s="15">
        <v>-0.75584877</v>
      </c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9" t="s">
        <v>95</v>
      </c>
      <c r="E97" s="15">
        <v>-0.6654217</v>
      </c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9" t="s">
        <v>96</v>
      </c>
      <c r="E98" s="15">
        <v>-0.26293567</v>
      </c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9" t="s">
        <v>97</v>
      </c>
      <c r="E99" s="10">
        <v>-0.025769169</v>
      </c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9" t="s">
        <v>98</v>
      </c>
      <c r="E100" s="10">
        <v>0.1405675</v>
      </c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9" t="s">
        <v>99</v>
      </c>
      <c r="E101" s="10">
        <v>0.14902496</v>
      </c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9" t="s">
        <v>100</v>
      </c>
      <c r="E102" s="10">
        <v>0.14902496</v>
      </c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9" t="s">
        <v>101</v>
      </c>
      <c r="E103" s="13">
        <v>0.07803707</v>
      </c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9" t="s">
        <v>102</v>
      </c>
      <c r="E104" s="10">
        <v>0.07803707</v>
      </c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9" t="s">
        <v>103</v>
      </c>
      <c r="E105" s="10">
        <v>0.07803707</v>
      </c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9" t="s">
        <v>104</v>
      </c>
      <c r="E106" s="13">
        <v>0.07803707</v>
      </c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9" t="s">
        <v>105</v>
      </c>
      <c r="E107" s="13">
        <v>0.07803707</v>
      </c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9" t="s">
        <v>106</v>
      </c>
      <c r="E108" s="13">
        <v>0.07803707</v>
      </c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9" t="s">
        <v>107</v>
      </c>
      <c r="E109" s="13">
        <v>0.07803707</v>
      </c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9" t="s">
        <v>108</v>
      </c>
      <c r="E110" s="13">
        <v>0.07803707</v>
      </c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9" t="s">
        <v>109</v>
      </c>
      <c r="E111" s="10">
        <v>0.07803707</v>
      </c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9" t="s">
        <v>110</v>
      </c>
      <c r="E112" s="15">
        <v>0.1674615</v>
      </c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9" t="s">
        <v>111</v>
      </c>
      <c r="E113" s="15">
        <v>-0.3584563</v>
      </c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9" t="s">
        <v>112</v>
      </c>
      <c r="E114" s="15">
        <v>-0.75584877</v>
      </c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9" t="s">
        <v>113</v>
      </c>
      <c r="E115" s="15">
        <v>-0.75584877</v>
      </c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9" t="s">
        <v>114</v>
      </c>
      <c r="E116" s="15">
        <v>-0.75584877</v>
      </c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9" t="s">
        <v>115</v>
      </c>
      <c r="E117" s="15">
        <v>-0.75584877</v>
      </c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9" t="s">
        <v>116</v>
      </c>
      <c r="E118" s="15">
        <v>-0.75584877</v>
      </c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9" t="s">
        <v>117</v>
      </c>
      <c r="E119" s="15">
        <v>-0.75584877</v>
      </c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9" t="s">
        <v>118</v>
      </c>
      <c r="E120" s="15">
        <v>-0.75584877</v>
      </c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9" t="s">
        <v>119</v>
      </c>
      <c r="E121" s="15">
        <v>-0.6654217</v>
      </c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9" t="s">
        <v>120</v>
      </c>
      <c r="E122" s="10">
        <v>-0.26293567</v>
      </c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9" t="s">
        <v>121</v>
      </c>
      <c r="E123" s="10">
        <v>-0.025769169</v>
      </c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9" t="s">
        <v>122</v>
      </c>
      <c r="E124" s="10">
        <v>0.1405675</v>
      </c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9" t="s">
        <v>123</v>
      </c>
      <c r="E125" s="10">
        <v>0.14902496</v>
      </c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9" t="s">
        <v>124</v>
      </c>
      <c r="E126" s="10">
        <v>0.14902496</v>
      </c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9" t="s">
        <v>125</v>
      </c>
      <c r="E127" s="10">
        <v>0.08427962</v>
      </c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9" t="s">
        <v>126</v>
      </c>
      <c r="E128" s="10">
        <v>0.08427962</v>
      </c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9" t="s">
        <v>127</v>
      </c>
      <c r="E129" s="13">
        <v>0.08427962</v>
      </c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9" t="s">
        <v>128</v>
      </c>
      <c r="E130" s="13">
        <v>0.08427962</v>
      </c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9" t="s">
        <v>129</v>
      </c>
      <c r="E131" s="13">
        <v>0.08427962</v>
      </c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9" t="s">
        <v>130</v>
      </c>
      <c r="E132" s="13">
        <v>0.08427962</v>
      </c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9" t="s">
        <v>131</v>
      </c>
      <c r="E133" s="13">
        <v>0.08427962</v>
      </c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9" t="s">
        <v>132</v>
      </c>
      <c r="E134" s="13">
        <v>0.08427962</v>
      </c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9" t="s">
        <v>133</v>
      </c>
      <c r="E135" s="15">
        <v>0.08427962</v>
      </c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9" t="s">
        <v>134</v>
      </c>
      <c r="E136" s="15">
        <v>0.17370406</v>
      </c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9" t="s">
        <v>135</v>
      </c>
      <c r="E137" s="15">
        <v>-0.30057234</v>
      </c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9" t="s">
        <v>136</v>
      </c>
      <c r="E138" s="15">
        <v>-0.6851752</v>
      </c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9" t="s">
        <v>137</v>
      </c>
      <c r="E139" s="15">
        <v>-0.6851752</v>
      </c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9" t="s">
        <v>138</v>
      </c>
      <c r="E140" s="15">
        <v>-0.6851752</v>
      </c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9" t="s">
        <v>139</v>
      </c>
      <c r="E141" s="15">
        <v>-0.6851752</v>
      </c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9" t="s">
        <v>140</v>
      </c>
      <c r="E142" s="15">
        <v>-0.6851752</v>
      </c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9" t="s">
        <v>141</v>
      </c>
      <c r="E143" s="15">
        <v>-0.6851752</v>
      </c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9" t="s">
        <v>142</v>
      </c>
      <c r="E144" s="15">
        <v>-0.6851752</v>
      </c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9" t="s">
        <v>143</v>
      </c>
      <c r="E145" s="15">
        <v>-0.5947479</v>
      </c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9" t="s">
        <v>144</v>
      </c>
      <c r="E146" s="15">
        <v>-0.19226204</v>
      </c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9" t="s">
        <v>145</v>
      </c>
      <c r="E147" s="15">
        <v>0.044904415</v>
      </c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9" t="s">
        <v>146</v>
      </c>
      <c r="E148" s="15">
        <v>0.15959974</v>
      </c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9" t="s">
        <v>147</v>
      </c>
      <c r="E149" s="15">
        <v>0.1680572</v>
      </c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9" t="s">
        <v>148</v>
      </c>
      <c r="E150" s="15">
        <v>0.1680572</v>
      </c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9" t="s">
        <v>149</v>
      </c>
      <c r="E151" s="13">
        <v>0.08440452</v>
      </c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9" t="s">
        <v>150</v>
      </c>
      <c r="E152" s="15">
        <v>0.08440452</v>
      </c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9" t="s">
        <v>151</v>
      </c>
      <c r="E153" s="15">
        <v>0.08440452</v>
      </c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9" t="s">
        <v>152</v>
      </c>
      <c r="E154" s="13">
        <v>0.08440452</v>
      </c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9" t="s">
        <v>153</v>
      </c>
      <c r="E155" s="13">
        <v>0.08440452</v>
      </c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9" t="s">
        <v>154</v>
      </c>
      <c r="E156" s="13">
        <v>0.08440452</v>
      </c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9" t="s">
        <v>155</v>
      </c>
      <c r="E157" s="13">
        <v>0.08440452</v>
      </c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9" t="s">
        <v>156</v>
      </c>
      <c r="E158" s="13">
        <v>0.08440452</v>
      </c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9" t="s">
        <v>157</v>
      </c>
      <c r="E159" s="10">
        <v>0.08440452</v>
      </c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9" t="s">
        <v>158</v>
      </c>
      <c r="E160" s="15">
        <v>0.17382896</v>
      </c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9" t="s">
        <v>159</v>
      </c>
      <c r="E161" s="15">
        <v>-0.21254729</v>
      </c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9" t="s">
        <v>160</v>
      </c>
      <c r="E162" s="10">
        <v>-0.11253366</v>
      </c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9" t="s">
        <v>161</v>
      </c>
      <c r="E163" s="10">
        <v>-0.11253366</v>
      </c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9" t="s">
        <v>162</v>
      </c>
      <c r="E164" s="15">
        <v>-0.11253366</v>
      </c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9" t="s">
        <v>163</v>
      </c>
      <c r="E165" s="15">
        <v>-0.11253366</v>
      </c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9" t="s">
        <v>164</v>
      </c>
      <c r="E166" s="15">
        <v>-0.11253366</v>
      </c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9" t="s">
        <v>165</v>
      </c>
      <c r="E167" s="15">
        <v>-0.11253366</v>
      </c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9" t="s">
        <v>166</v>
      </c>
      <c r="E168" s="15">
        <v>-0.11253366</v>
      </c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9" t="s">
        <v>167</v>
      </c>
      <c r="E169" s="15">
        <v>-0.07458061</v>
      </c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9" t="s">
        <v>168</v>
      </c>
      <c r="E170" s="10">
        <v>0.15714432</v>
      </c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9" t="s">
        <v>169</v>
      </c>
      <c r="E171" s="10">
        <v>0.124860086</v>
      </c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9" t="s">
        <v>170</v>
      </c>
      <c r="E172" s="10">
        <v>0.15972464</v>
      </c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9" t="s">
        <v>171</v>
      </c>
      <c r="E173" s="10">
        <v>0.1681821</v>
      </c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9" t="s">
        <v>172</v>
      </c>
      <c r="E174" s="10">
        <v>0.1681821</v>
      </c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9" t="s">
        <v>173</v>
      </c>
      <c r="E175" s="10">
        <v>0.08440452</v>
      </c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9" t="s">
        <v>174</v>
      </c>
      <c r="E176" s="13">
        <v>0.08440452</v>
      </c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9" t="s">
        <v>175</v>
      </c>
      <c r="E177" s="10">
        <v>0.08440452</v>
      </c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9" t="s">
        <v>176</v>
      </c>
      <c r="E178" s="13">
        <v>0.08440452</v>
      </c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9" t="s">
        <v>177</v>
      </c>
      <c r="E179" s="13">
        <v>0.08440452</v>
      </c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9" t="s">
        <v>178</v>
      </c>
      <c r="E180" s="13">
        <v>0.08440452</v>
      </c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9" t="s">
        <v>179</v>
      </c>
      <c r="E181" s="13">
        <v>0.08440452</v>
      </c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9" t="s">
        <v>180</v>
      </c>
      <c r="E182" s="13">
        <v>0.08440452</v>
      </c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9" t="s">
        <v>181</v>
      </c>
      <c r="E183" s="10">
        <v>0.08440452</v>
      </c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9" t="s">
        <v>182</v>
      </c>
      <c r="E184" s="15">
        <v>0.17382896</v>
      </c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9" t="s">
        <v>183</v>
      </c>
      <c r="E185" s="15">
        <v>-0.21254729</v>
      </c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9" t="s">
        <v>184</v>
      </c>
      <c r="E186" s="10">
        <v>-0.11253366</v>
      </c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9" t="s">
        <v>185</v>
      </c>
      <c r="E187" s="10">
        <v>-0.11253366</v>
      </c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9" t="s">
        <v>186</v>
      </c>
      <c r="E188" s="15">
        <v>-0.11253366</v>
      </c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9" t="s">
        <v>187</v>
      </c>
      <c r="E189" s="15">
        <v>-0.11253366</v>
      </c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9" t="s">
        <v>188</v>
      </c>
      <c r="E190" s="15">
        <v>-0.11253366</v>
      </c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9" t="s">
        <v>189</v>
      </c>
      <c r="E191" s="15">
        <v>-0.11253366</v>
      </c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9" t="s">
        <v>190</v>
      </c>
      <c r="E192" s="15">
        <v>-0.11253366</v>
      </c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9" t="s">
        <v>191</v>
      </c>
      <c r="E193" s="15">
        <v>-0.07458061</v>
      </c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9" t="s">
        <v>192</v>
      </c>
      <c r="E194" s="10">
        <v>0.15714432</v>
      </c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9" t="s">
        <v>193</v>
      </c>
      <c r="E195" s="10">
        <v>0.124860086</v>
      </c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9" t="s">
        <v>194</v>
      </c>
      <c r="E196" s="10">
        <v>0.15972464</v>
      </c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9" t="s">
        <v>195</v>
      </c>
      <c r="E197" s="10">
        <v>0.1681821</v>
      </c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9" t="s">
        <v>196</v>
      </c>
      <c r="E198" s="10">
        <v>0.1681821</v>
      </c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9" t="s">
        <v>197</v>
      </c>
      <c r="E199" s="13">
        <v>0.07803707</v>
      </c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9" t="s">
        <v>198</v>
      </c>
      <c r="E200" s="13">
        <v>0.07803707</v>
      </c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9" t="s">
        <v>199</v>
      </c>
      <c r="E201" s="10">
        <v>0.07803707</v>
      </c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9" t="s">
        <v>200</v>
      </c>
      <c r="E202" s="13">
        <v>0.07803707</v>
      </c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9" t="s">
        <v>201</v>
      </c>
      <c r="E203" s="13">
        <v>0.07803707</v>
      </c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9" t="s">
        <v>202</v>
      </c>
      <c r="E204" s="13">
        <v>0.07803707</v>
      </c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9" t="s">
        <v>203</v>
      </c>
      <c r="E205" s="13">
        <v>0.07803707</v>
      </c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9" t="s">
        <v>204</v>
      </c>
      <c r="E206" s="13">
        <v>0.07803707</v>
      </c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9" t="s">
        <v>205</v>
      </c>
      <c r="E207" s="13">
        <v>0.07803707</v>
      </c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9" t="s">
        <v>206</v>
      </c>
      <c r="E208" s="15">
        <v>0.1674615</v>
      </c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9" t="s">
        <v>207</v>
      </c>
      <c r="E209" s="15">
        <v>-0.3584563</v>
      </c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9" t="s">
        <v>208</v>
      </c>
      <c r="E210" s="15">
        <v>-0.75584877</v>
      </c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9" t="s">
        <v>209</v>
      </c>
      <c r="E211" s="15">
        <v>-0.75584877</v>
      </c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9" t="s">
        <v>210</v>
      </c>
      <c r="E212" s="15">
        <v>-0.75584877</v>
      </c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9" t="s">
        <v>211</v>
      </c>
      <c r="E213" s="15">
        <v>-0.75584877</v>
      </c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9" t="s">
        <v>212</v>
      </c>
      <c r="E214" s="15">
        <v>-0.75584877</v>
      </c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9" t="s">
        <v>213</v>
      </c>
      <c r="E215" s="15">
        <v>-0.75584877</v>
      </c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9" t="s">
        <v>214</v>
      </c>
      <c r="E216" s="15">
        <v>-0.75584877</v>
      </c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9" t="s">
        <v>215</v>
      </c>
      <c r="E217" s="15">
        <v>-0.6654217</v>
      </c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9" t="s">
        <v>216</v>
      </c>
      <c r="E218" s="10">
        <v>-0.26293567</v>
      </c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9" t="s">
        <v>217</v>
      </c>
      <c r="E219" s="10">
        <v>-0.025769169</v>
      </c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9" t="s">
        <v>218</v>
      </c>
      <c r="E220" s="10">
        <v>0.1405675</v>
      </c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9" t="s">
        <v>219</v>
      </c>
      <c r="E221" s="10">
        <v>0.14902496</v>
      </c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9" t="s">
        <v>220</v>
      </c>
      <c r="E222" s="10">
        <v>0.14902496</v>
      </c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9" t="s">
        <v>221</v>
      </c>
      <c r="E223" s="10">
        <v>0.07803707</v>
      </c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9" t="s">
        <v>222</v>
      </c>
      <c r="E224" s="10">
        <v>0.07803707</v>
      </c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9" t="s">
        <v>223</v>
      </c>
      <c r="E225" s="10">
        <v>0.07803707</v>
      </c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9" t="s">
        <v>224</v>
      </c>
      <c r="E226" s="13">
        <v>0.07803707</v>
      </c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9" t="s">
        <v>225</v>
      </c>
      <c r="E227" s="13">
        <v>0.07803707</v>
      </c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9" t="s">
        <v>226</v>
      </c>
      <c r="E228" s="13">
        <v>0.07803707</v>
      </c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9" t="s">
        <v>227</v>
      </c>
      <c r="E229" s="13">
        <v>0.07803707</v>
      </c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9" t="s">
        <v>228</v>
      </c>
      <c r="E230" s="13">
        <v>0.07803707</v>
      </c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9" t="s">
        <v>229</v>
      </c>
      <c r="E231" s="10">
        <v>0.07803707</v>
      </c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9" t="s">
        <v>230</v>
      </c>
      <c r="E232" s="15">
        <v>0.1674615</v>
      </c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9" t="s">
        <v>231</v>
      </c>
      <c r="E233" s="15">
        <v>-0.3584563</v>
      </c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9" t="s">
        <v>232</v>
      </c>
      <c r="E234" s="15">
        <v>-0.75584877</v>
      </c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9" t="s">
        <v>233</v>
      </c>
      <c r="E235" s="15">
        <v>-0.75584877</v>
      </c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9" t="s">
        <v>234</v>
      </c>
      <c r="E236" s="15">
        <v>-0.75584877</v>
      </c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9" t="s">
        <v>235</v>
      </c>
      <c r="E237" s="15">
        <v>-0.75584877</v>
      </c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9" t="s">
        <v>236</v>
      </c>
      <c r="E238" s="15">
        <v>-0.75584877</v>
      </c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9" t="s">
        <v>237</v>
      </c>
      <c r="E239" s="15">
        <v>-0.75584877</v>
      </c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9" t="s">
        <v>238</v>
      </c>
      <c r="E240" s="15">
        <v>-0.75584877</v>
      </c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9" t="s">
        <v>239</v>
      </c>
      <c r="E241" s="15">
        <v>-0.6654217</v>
      </c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9" t="s">
        <v>240</v>
      </c>
      <c r="E242" s="10">
        <v>-0.26293567</v>
      </c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9" t="s">
        <v>241</v>
      </c>
      <c r="E243" s="10">
        <v>-0.025769169</v>
      </c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9" t="s">
        <v>242</v>
      </c>
      <c r="E244" s="10">
        <v>0.1405675</v>
      </c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9" t="s">
        <v>243</v>
      </c>
      <c r="E245" s="10">
        <v>0.14902496</v>
      </c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9" t="s">
        <v>244</v>
      </c>
      <c r="E246" s="10">
        <v>0.14902496</v>
      </c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9" t="s">
        <v>245</v>
      </c>
      <c r="E247" s="10">
        <v>0.07803707</v>
      </c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9" t="s">
        <v>246</v>
      </c>
      <c r="E248" s="10">
        <v>0.07803707</v>
      </c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9" t="s">
        <v>247</v>
      </c>
      <c r="E249" s="13">
        <v>0.07803707</v>
      </c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9" t="s">
        <v>248</v>
      </c>
      <c r="E250" s="13">
        <v>0.07803707</v>
      </c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9" t="s">
        <v>249</v>
      </c>
      <c r="E251" s="13">
        <v>0.07803707</v>
      </c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9" t="s">
        <v>250</v>
      </c>
      <c r="E252" s="13">
        <v>0.07803707</v>
      </c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9" t="s">
        <v>251</v>
      </c>
      <c r="E253" s="13">
        <v>0.07803707</v>
      </c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9" t="s">
        <v>252</v>
      </c>
      <c r="E254" s="13">
        <v>0.07803707</v>
      </c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9" t="s">
        <v>253</v>
      </c>
      <c r="E255" s="10">
        <v>0.07803707</v>
      </c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9" t="s">
        <v>254</v>
      </c>
      <c r="E256" s="15">
        <v>0.1674615</v>
      </c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9" t="s">
        <v>255</v>
      </c>
      <c r="E257" s="15">
        <v>-0.3584563</v>
      </c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9" t="s">
        <v>256</v>
      </c>
      <c r="E258" s="15">
        <v>-0.75584877</v>
      </c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9" t="s">
        <v>257</v>
      </c>
      <c r="E259" s="15">
        <v>-0.75584877</v>
      </c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9" t="s">
        <v>258</v>
      </c>
      <c r="E260" s="15">
        <v>-0.75584877</v>
      </c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9" t="s">
        <v>259</v>
      </c>
      <c r="E261" s="15">
        <v>-0.75584877</v>
      </c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9" t="s">
        <v>260</v>
      </c>
      <c r="E262" s="15">
        <v>-0.75584877</v>
      </c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9" t="s">
        <v>261</v>
      </c>
      <c r="E263" s="15">
        <v>-0.75584877</v>
      </c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9" t="s">
        <v>262</v>
      </c>
      <c r="E264" s="15">
        <v>-0.75584877</v>
      </c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9" t="s">
        <v>263</v>
      </c>
      <c r="E265" s="15">
        <v>-0.6654217</v>
      </c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9" t="s">
        <v>264</v>
      </c>
      <c r="E266" s="10">
        <v>-0.26293567</v>
      </c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9" t="s">
        <v>265</v>
      </c>
      <c r="E267" s="10">
        <v>-0.025769169</v>
      </c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9" t="s">
        <v>266</v>
      </c>
      <c r="E268" s="10">
        <v>0.1405675</v>
      </c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9" t="s">
        <v>267</v>
      </c>
      <c r="E269" s="10">
        <v>0.14902496</v>
      </c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9" t="s">
        <v>268</v>
      </c>
      <c r="E270" s="10">
        <v>0.14902496</v>
      </c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9" t="s">
        <v>269</v>
      </c>
      <c r="E271" s="13">
        <v>0.07803707</v>
      </c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9" t="s">
        <v>270</v>
      </c>
      <c r="E272" s="10">
        <v>0.07803707</v>
      </c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9" t="s">
        <v>271</v>
      </c>
      <c r="E273" s="10">
        <v>0.07803707</v>
      </c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9" t="s">
        <v>272</v>
      </c>
      <c r="E274" s="13">
        <v>0.07803707</v>
      </c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9" t="s">
        <v>273</v>
      </c>
      <c r="E275" s="13">
        <v>0.07803707</v>
      </c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9" t="s">
        <v>274</v>
      </c>
      <c r="E276" s="13">
        <v>0.07803707</v>
      </c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9" t="s">
        <v>275</v>
      </c>
      <c r="E277" s="13">
        <v>0.07803707</v>
      </c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9" t="s">
        <v>276</v>
      </c>
      <c r="E278" s="13">
        <v>0.07803707</v>
      </c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9" t="s">
        <v>277</v>
      </c>
      <c r="E279" s="10">
        <v>0.07803707</v>
      </c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9" t="s">
        <v>278</v>
      </c>
      <c r="E280" s="15">
        <v>0.1674615</v>
      </c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9" t="s">
        <v>279</v>
      </c>
      <c r="E281" s="15">
        <v>-0.3584563</v>
      </c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9" t="s">
        <v>280</v>
      </c>
      <c r="E282" s="15">
        <v>-0.75584877</v>
      </c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9" t="s">
        <v>281</v>
      </c>
      <c r="E283" s="15">
        <v>-0.75584877</v>
      </c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9" t="s">
        <v>282</v>
      </c>
      <c r="E284" s="15">
        <v>-0.75584877</v>
      </c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9" t="s">
        <v>283</v>
      </c>
      <c r="E285" s="15">
        <v>-0.75584877</v>
      </c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9" t="s">
        <v>284</v>
      </c>
      <c r="E286" s="15">
        <v>-0.75584877</v>
      </c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9" t="s">
        <v>285</v>
      </c>
      <c r="E287" s="15">
        <v>-0.75584877</v>
      </c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9" t="s">
        <v>286</v>
      </c>
      <c r="E288" s="15">
        <v>-0.75584877</v>
      </c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9" t="s">
        <v>287</v>
      </c>
      <c r="E289" s="15">
        <v>-0.6654217</v>
      </c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9" t="s">
        <v>288</v>
      </c>
      <c r="E290" s="10">
        <v>-0.26293567</v>
      </c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9" t="s">
        <v>289</v>
      </c>
      <c r="E291" s="10">
        <v>-0.025769169</v>
      </c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9" t="s">
        <v>290</v>
      </c>
      <c r="E292" s="10">
        <v>0.1405675</v>
      </c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9" t="s">
        <v>291</v>
      </c>
      <c r="E293" s="10">
        <v>0.14902496</v>
      </c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9" t="s">
        <v>292</v>
      </c>
      <c r="E294" s="10">
        <v>0.14902496</v>
      </c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9" t="s">
        <v>293</v>
      </c>
      <c r="E295" s="13">
        <v>0.08427962</v>
      </c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9" t="s">
        <v>294</v>
      </c>
      <c r="E296" s="10">
        <v>0.08427962</v>
      </c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9" t="s">
        <v>295</v>
      </c>
      <c r="E297" s="10">
        <v>0.08427962</v>
      </c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9" t="s">
        <v>296</v>
      </c>
      <c r="E298" s="13">
        <v>0.08427962</v>
      </c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9" t="s">
        <v>297</v>
      </c>
      <c r="E299" s="13">
        <v>0.08427962</v>
      </c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9" t="s">
        <v>298</v>
      </c>
      <c r="E300" s="13">
        <v>0.08427962</v>
      </c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9" t="s">
        <v>299</v>
      </c>
      <c r="E301" s="13">
        <v>0.08427962</v>
      </c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9" t="s">
        <v>300</v>
      </c>
      <c r="E302" s="13">
        <v>0.08427962</v>
      </c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9" t="s">
        <v>301</v>
      </c>
      <c r="E303" s="10">
        <v>0.08427962</v>
      </c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9" t="s">
        <v>302</v>
      </c>
      <c r="E304" s="15">
        <v>0.17370406</v>
      </c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9" t="s">
        <v>303</v>
      </c>
      <c r="E305" s="15">
        <v>-0.30057234</v>
      </c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9" t="s">
        <v>304</v>
      </c>
      <c r="E306" s="15">
        <v>-0.6851752</v>
      </c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9" t="s">
        <v>305</v>
      </c>
      <c r="E307" s="15">
        <v>-0.6851752</v>
      </c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9" t="s">
        <v>306</v>
      </c>
      <c r="E308" s="15">
        <v>-0.6851752</v>
      </c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9" t="s">
        <v>307</v>
      </c>
      <c r="E309" s="15">
        <v>-0.6851752</v>
      </c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9" t="s">
        <v>308</v>
      </c>
      <c r="E310" s="15">
        <v>-0.6851752</v>
      </c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9" t="s">
        <v>309</v>
      </c>
      <c r="E311" s="15">
        <v>-0.6851752</v>
      </c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9" t="s">
        <v>310</v>
      </c>
      <c r="E312" s="15">
        <v>-0.6851752</v>
      </c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9" t="s">
        <v>311</v>
      </c>
      <c r="E313" s="15">
        <v>-0.5947479</v>
      </c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9" t="s">
        <v>312</v>
      </c>
      <c r="E314" s="10">
        <v>-0.19226204</v>
      </c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9" t="s">
        <v>313</v>
      </c>
      <c r="E315" s="10">
        <v>0.044904415</v>
      </c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9" t="s">
        <v>314</v>
      </c>
      <c r="E316" s="10">
        <v>0.15959974</v>
      </c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9" t="s">
        <v>315</v>
      </c>
      <c r="E317" s="10">
        <v>0.1680572</v>
      </c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9" t="s">
        <v>316</v>
      </c>
      <c r="E318" s="10">
        <v>0.1680572</v>
      </c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9" t="s">
        <v>317</v>
      </c>
      <c r="E319" s="10">
        <v>0.08440452</v>
      </c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9" t="s">
        <v>318</v>
      </c>
      <c r="E320" s="10">
        <v>0.08440452</v>
      </c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9" t="s">
        <v>319</v>
      </c>
      <c r="E321" s="13">
        <v>0.08440452</v>
      </c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9" t="s">
        <v>320</v>
      </c>
      <c r="E322" s="13">
        <v>0.08440452</v>
      </c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9" t="s">
        <v>321</v>
      </c>
      <c r="E323" s="13">
        <v>0.08440452</v>
      </c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9" t="s">
        <v>322</v>
      </c>
      <c r="E324" s="13">
        <v>0.08440452</v>
      </c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9" t="s">
        <v>323</v>
      </c>
      <c r="E325" s="13">
        <v>0.08440452</v>
      </c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9" t="s">
        <v>324</v>
      </c>
      <c r="E326" s="13">
        <v>0.08440452</v>
      </c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9" t="s">
        <v>325</v>
      </c>
      <c r="E327" s="10">
        <v>0.08440452</v>
      </c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9" t="s">
        <v>326</v>
      </c>
      <c r="E328" s="15">
        <v>0.17382896</v>
      </c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9" t="s">
        <v>327</v>
      </c>
      <c r="E329" s="15">
        <v>-0.21254729</v>
      </c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9" t="s">
        <v>328</v>
      </c>
      <c r="E330" s="15">
        <v>-0.11253366</v>
      </c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9" t="s">
        <v>329</v>
      </c>
      <c r="E331" s="10">
        <v>-0.11253366</v>
      </c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9" t="s">
        <v>330</v>
      </c>
      <c r="E332" s="15">
        <v>-0.11253366</v>
      </c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9" t="s">
        <v>331</v>
      </c>
      <c r="E333" s="15">
        <v>-0.11253366</v>
      </c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9" t="s">
        <v>332</v>
      </c>
      <c r="E334" s="15">
        <v>-0.11253366</v>
      </c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9" t="s">
        <v>333</v>
      </c>
      <c r="E335" s="15">
        <v>-0.11253366</v>
      </c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9" t="s">
        <v>334</v>
      </c>
      <c r="E336" s="15">
        <v>-0.11253366</v>
      </c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9" t="s">
        <v>335</v>
      </c>
      <c r="E337" s="15">
        <v>-0.07458061</v>
      </c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9" t="s">
        <v>336</v>
      </c>
      <c r="E338" s="10">
        <v>0.15714432</v>
      </c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9" t="s">
        <v>337</v>
      </c>
      <c r="E339" s="10">
        <v>0.124860086</v>
      </c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9" t="s">
        <v>338</v>
      </c>
      <c r="E340" s="10">
        <v>0.15972464</v>
      </c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9" t="s">
        <v>339</v>
      </c>
      <c r="E341" s="10">
        <v>0.1681821</v>
      </c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9" t="s">
        <v>340</v>
      </c>
      <c r="E342" s="10">
        <v>0.1681821</v>
      </c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9" t="s">
        <v>341</v>
      </c>
      <c r="E343" s="10">
        <v>0.08440452</v>
      </c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9" t="s">
        <v>342</v>
      </c>
      <c r="E344" s="13">
        <v>0.08440452</v>
      </c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9" t="s">
        <v>343</v>
      </c>
      <c r="E345" s="10">
        <v>0.08440452</v>
      </c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9" t="s">
        <v>344</v>
      </c>
      <c r="E346" s="13">
        <v>0.08440452</v>
      </c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9" t="s">
        <v>345</v>
      </c>
      <c r="E347" s="13">
        <v>0.08440452</v>
      </c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9" t="s">
        <v>346</v>
      </c>
      <c r="E348" s="13">
        <v>0.08440452</v>
      </c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9" t="s">
        <v>347</v>
      </c>
      <c r="E349" s="13">
        <v>0.08440452</v>
      </c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9" t="s">
        <v>348</v>
      </c>
      <c r="E350" s="13">
        <v>0.08440452</v>
      </c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9" t="s">
        <v>349</v>
      </c>
      <c r="E351" s="10">
        <v>0.08440452</v>
      </c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9" t="s">
        <v>350</v>
      </c>
      <c r="E352" s="15">
        <v>0.17382896</v>
      </c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9" t="s">
        <v>351</v>
      </c>
      <c r="E353" s="15">
        <v>-0.21254729</v>
      </c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9" t="s">
        <v>352</v>
      </c>
      <c r="E354" s="10">
        <v>-0.11253366</v>
      </c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9" t="s">
        <v>353</v>
      </c>
      <c r="E355" s="10">
        <v>-0.11253366</v>
      </c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9" t="s">
        <v>354</v>
      </c>
      <c r="E356" s="15">
        <v>-0.11253366</v>
      </c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9" t="s">
        <v>355</v>
      </c>
      <c r="E357" s="15">
        <v>-0.11253366</v>
      </c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9" t="s">
        <v>356</v>
      </c>
      <c r="E358" s="15">
        <v>-0.11253366</v>
      </c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9" t="s">
        <v>357</v>
      </c>
      <c r="E359" s="15">
        <v>-0.11253366</v>
      </c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9" t="s">
        <v>358</v>
      </c>
      <c r="E360" s="15">
        <v>-0.11253366</v>
      </c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9" t="s">
        <v>359</v>
      </c>
      <c r="E361" s="15">
        <v>-0.07458061</v>
      </c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9" t="s">
        <v>360</v>
      </c>
      <c r="E362" s="10">
        <v>0.15714432</v>
      </c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9" t="s">
        <v>361</v>
      </c>
      <c r="E363" s="10">
        <v>0.124860086</v>
      </c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9" t="s">
        <v>362</v>
      </c>
      <c r="E364" s="10">
        <v>0.15972464</v>
      </c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9" t="s">
        <v>363</v>
      </c>
      <c r="E365" s="10">
        <v>0.1681821</v>
      </c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9" t="s">
        <v>364</v>
      </c>
      <c r="E366" s="10">
        <v>0.1681821</v>
      </c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9" t="s">
        <v>365</v>
      </c>
      <c r="E367" s="10">
        <v>0.09349357</v>
      </c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9" t="s">
        <v>366</v>
      </c>
      <c r="E368" s="10">
        <v>0.09349357</v>
      </c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9" t="s">
        <v>367</v>
      </c>
      <c r="E369" s="13">
        <v>0.09349357</v>
      </c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9" t="s">
        <v>368</v>
      </c>
      <c r="E370" s="13">
        <v>0.09349357</v>
      </c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9" t="s">
        <v>369</v>
      </c>
      <c r="E371" s="13">
        <v>0.09349357</v>
      </c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9" t="s">
        <v>370</v>
      </c>
      <c r="E372" s="13">
        <v>0.09349357</v>
      </c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9" t="s">
        <v>371</v>
      </c>
      <c r="E373" s="13">
        <v>0.09349357</v>
      </c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9" t="s">
        <v>372</v>
      </c>
      <c r="E374" s="13">
        <v>0.09349357</v>
      </c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9" t="s">
        <v>373</v>
      </c>
      <c r="E375" s="10">
        <v>0.09349357</v>
      </c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9" t="s">
        <v>374</v>
      </c>
      <c r="E376" s="15">
        <v>0.182918</v>
      </c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9" t="s">
        <v>375</v>
      </c>
      <c r="E377" s="15">
        <v>-0.3429998</v>
      </c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9" t="s">
        <v>376</v>
      </c>
      <c r="E378" s="15">
        <v>-0.7403923</v>
      </c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9" t="s">
        <v>377</v>
      </c>
      <c r="E379" s="15">
        <v>-0.7403923</v>
      </c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9" t="s">
        <v>378</v>
      </c>
      <c r="E380" s="15">
        <v>-0.7403923</v>
      </c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9" t="s">
        <v>379</v>
      </c>
      <c r="E381" s="15">
        <v>-0.7403923</v>
      </c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9" t="s">
        <v>380</v>
      </c>
      <c r="E382" s="15">
        <v>-0.7403923</v>
      </c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9" t="s">
        <v>381</v>
      </c>
      <c r="E383" s="15">
        <v>-0.7403923</v>
      </c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9" t="s">
        <v>382</v>
      </c>
      <c r="E384" s="15">
        <v>-0.7403923</v>
      </c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9" t="s">
        <v>383</v>
      </c>
      <c r="E385" s="15">
        <v>-0.64996517</v>
      </c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9" t="s">
        <v>384</v>
      </c>
      <c r="E386" s="10">
        <v>-0.24747916</v>
      </c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9" t="s">
        <v>385</v>
      </c>
      <c r="E387" s="10">
        <v>-0.010312666</v>
      </c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9" t="s">
        <v>386</v>
      </c>
      <c r="E388" s="10">
        <v>0.156024</v>
      </c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9" t="s">
        <v>387</v>
      </c>
      <c r="E389" s="10">
        <v>0.16448146</v>
      </c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9" t="s">
        <v>388</v>
      </c>
      <c r="E390" s="10">
        <v>0.16448146</v>
      </c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9" t="s">
        <v>389</v>
      </c>
      <c r="E391" s="10">
        <v>0.09349357</v>
      </c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9" t="s">
        <v>390</v>
      </c>
      <c r="E392" s="10">
        <v>0.09349357</v>
      </c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9" t="s">
        <v>391</v>
      </c>
      <c r="E393" s="10">
        <v>0.09349357</v>
      </c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9" t="s">
        <v>392</v>
      </c>
      <c r="E394" s="13">
        <v>0.09349357</v>
      </c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9" t="s">
        <v>393</v>
      </c>
      <c r="E395" s="13">
        <v>0.09349357</v>
      </c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9" t="s">
        <v>394</v>
      </c>
      <c r="E396" s="13">
        <v>0.09349357</v>
      </c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9" t="s">
        <v>395</v>
      </c>
      <c r="E397" s="13">
        <v>0.09349357</v>
      </c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9" t="s">
        <v>396</v>
      </c>
      <c r="E398" s="13">
        <v>0.09349357</v>
      </c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9" t="s">
        <v>397</v>
      </c>
      <c r="E399" s="10">
        <v>0.09349357</v>
      </c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9" t="s">
        <v>398</v>
      </c>
      <c r="E400" s="15">
        <v>0.182918</v>
      </c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9" t="s">
        <v>399</v>
      </c>
      <c r="E401" s="15">
        <v>-0.3429998</v>
      </c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9" t="s">
        <v>400</v>
      </c>
      <c r="E402" s="15">
        <v>-0.7403923</v>
      </c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9" t="s">
        <v>401</v>
      </c>
      <c r="E403" s="15">
        <v>-0.7403923</v>
      </c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9" t="s">
        <v>402</v>
      </c>
      <c r="E404" s="15">
        <v>-0.7403923</v>
      </c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9" t="s">
        <v>403</v>
      </c>
      <c r="E405" s="15">
        <v>-0.7403923</v>
      </c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9" t="s">
        <v>404</v>
      </c>
      <c r="E406" s="15">
        <v>-0.7403923</v>
      </c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9" t="s">
        <v>405</v>
      </c>
      <c r="E407" s="15">
        <v>-0.7403923</v>
      </c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9" t="s">
        <v>406</v>
      </c>
      <c r="E408" s="15">
        <v>-0.7403923</v>
      </c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9" t="s">
        <v>407</v>
      </c>
      <c r="E409" s="15">
        <v>-0.64996517</v>
      </c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9" t="s">
        <v>408</v>
      </c>
      <c r="E410" s="10">
        <v>-0.24747916</v>
      </c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9" t="s">
        <v>409</v>
      </c>
      <c r="E411" s="10">
        <v>-0.010312666</v>
      </c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9" t="s">
        <v>410</v>
      </c>
      <c r="E412" s="10">
        <v>0.156024</v>
      </c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9" t="s">
        <v>411</v>
      </c>
      <c r="E413" s="10">
        <v>0.16448146</v>
      </c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9" t="s">
        <v>412</v>
      </c>
      <c r="E414" s="10">
        <v>0.16448146</v>
      </c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9" t="s">
        <v>413</v>
      </c>
      <c r="E415" s="10">
        <v>0.09349357</v>
      </c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9" t="s">
        <v>414</v>
      </c>
      <c r="E416" s="10">
        <v>0.09349357</v>
      </c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9" t="s">
        <v>415</v>
      </c>
      <c r="E417" s="10">
        <v>0.09349357</v>
      </c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9" t="s">
        <v>416</v>
      </c>
      <c r="E418" s="13">
        <v>0.09349357</v>
      </c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9" t="s">
        <v>417</v>
      </c>
      <c r="E419" s="13">
        <v>0.09349357</v>
      </c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9" t="s">
        <v>418</v>
      </c>
      <c r="E420" s="13">
        <v>0.09349357</v>
      </c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9" t="s">
        <v>419</v>
      </c>
      <c r="E421" s="13">
        <v>0.09349357</v>
      </c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9" t="s">
        <v>420</v>
      </c>
      <c r="E422" s="13">
        <v>0.09349357</v>
      </c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9" t="s">
        <v>421</v>
      </c>
      <c r="E423" s="10">
        <v>0.09349357</v>
      </c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9" t="s">
        <v>422</v>
      </c>
      <c r="E424" s="15">
        <v>0.182918</v>
      </c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9" t="s">
        <v>423</v>
      </c>
      <c r="E425" s="15">
        <v>-0.3429998</v>
      </c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9" t="s">
        <v>424</v>
      </c>
      <c r="E426" s="15">
        <v>-0.7403923</v>
      </c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9" t="s">
        <v>425</v>
      </c>
      <c r="E427" s="15">
        <v>-0.7403923</v>
      </c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9" t="s">
        <v>426</v>
      </c>
      <c r="E428" s="15">
        <v>-0.7403923</v>
      </c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9" t="s">
        <v>427</v>
      </c>
      <c r="E429" s="15">
        <v>-0.7403923</v>
      </c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9" t="s">
        <v>428</v>
      </c>
      <c r="E430" s="15">
        <v>-0.7403923</v>
      </c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9" t="s">
        <v>429</v>
      </c>
      <c r="E431" s="15">
        <v>-0.7403923</v>
      </c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9" t="s">
        <v>430</v>
      </c>
      <c r="E432" s="15">
        <v>-0.7403923</v>
      </c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9" t="s">
        <v>431</v>
      </c>
      <c r="E433" s="15">
        <v>-0.64996517</v>
      </c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9" t="s">
        <v>432</v>
      </c>
      <c r="E434" s="10">
        <v>-0.24747916</v>
      </c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9" t="s">
        <v>433</v>
      </c>
      <c r="E435" s="10">
        <v>-0.010312666</v>
      </c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9" t="s">
        <v>434</v>
      </c>
      <c r="E436" s="10">
        <v>0.156024</v>
      </c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9" t="s">
        <v>435</v>
      </c>
      <c r="E437" s="10">
        <v>0.16448146</v>
      </c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9" t="s">
        <v>436</v>
      </c>
      <c r="E438" s="10">
        <v>0.16448146</v>
      </c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9" t="s">
        <v>437</v>
      </c>
      <c r="E439" s="13">
        <v>0.09349357</v>
      </c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9" t="s">
        <v>438</v>
      </c>
      <c r="E440" s="13">
        <v>0.09349357</v>
      </c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9" t="s">
        <v>439</v>
      </c>
      <c r="E441" s="13">
        <v>0.09349357</v>
      </c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9" t="s">
        <v>440</v>
      </c>
      <c r="E442" s="13">
        <v>0.09349357</v>
      </c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9" t="s">
        <v>441</v>
      </c>
      <c r="E443" s="13">
        <v>0.09349357</v>
      </c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9" t="s">
        <v>442</v>
      </c>
      <c r="E444" s="13">
        <v>0.09349357</v>
      </c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9" t="s">
        <v>443</v>
      </c>
      <c r="E445" s="13">
        <v>0.09349357</v>
      </c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9" t="s">
        <v>444</v>
      </c>
      <c r="E446" s="13">
        <v>0.09349357</v>
      </c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9" t="s">
        <v>445</v>
      </c>
      <c r="E447" s="10">
        <v>0.09349357</v>
      </c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9" t="s">
        <v>446</v>
      </c>
      <c r="E448" s="15">
        <v>0.182918</v>
      </c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9" t="s">
        <v>447</v>
      </c>
      <c r="E449" s="15">
        <v>-0.3429998</v>
      </c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9" t="s">
        <v>448</v>
      </c>
      <c r="E450" s="10">
        <v>-0.7403923</v>
      </c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9" t="s">
        <v>449</v>
      </c>
      <c r="E451" s="15">
        <v>-0.7403923</v>
      </c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9" t="s">
        <v>450</v>
      </c>
      <c r="E452" s="15">
        <v>-0.7403923</v>
      </c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9" t="s">
        <v>451</v>
      </c>
      <c r="E453" s="10">
        <v>-0.7403923</v>
      </c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9" t="s">
        <v>452</v>
      </c>
      <c r="E454" s="15">
        <v>-0.7403923</v>
      </c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9" t="s">
        <v>453</v>
      </c>
      <c r="E455" s="15">
        <v>-0.7403923</v>
      </c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9" t="s">
        <v>454</v>
      </c>
      <c r="E456" s="15">
        <v>-0.7403923</v>
      </c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9" t="s">
        <v>455</v>
      </c>
      <c r="E457" s="15">
        <v>-0.64996517</v>
      </c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9" t="s">
        <v>456</v>
      </c>
      <c r="E458" s="10">
        <v>-0.24747916</v>
      </c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9" t="s">
        <v>457</v>
      </c>
      <c r="E459" s="10">
        <v>-0.010312666</v>
      </c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9" t="s">
        <v>458</v>
      </c>
      <c r="E460" s="10">
        <v>0.156024</v>
      </c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9" t="s">
        <v>459</v>
      </c>
      <c r="E461" s="10">
        <v>0.16448146</v>
      </c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9" t="s">
        <v>460</v>
      </c>
      <c r="E462" s="10">
        <v>0.16448146</v>
      </c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9" t="s">
        <v>461</v>
      </c>
      <c r="E463" s="10">
        <v>0.10339576</v>
      </c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9" t="s">
        <v>462</v>
      </c>
      <c r="E464" s="13">
        <v>0.10339576</v>
      </c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9" t="s">
        <v>463</v>
      </c>
      <c r="E465" s="10">
        <v>0.10339576</v>
      </c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9" t="s">
        <v>464</v>
      </c>
      <c r="E466" s="13">
        <v>0.10339576</v>
      </c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9" t="s">
        <v>465</v>
      </c>
      <c r="E467" s="13">
        <v>0.10339576</v>
      </c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9" t="s">
        <v>466</v>
      </c>
      <c r="E468" s="13">
        <v>0.10339576</v>
      </c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9" t="s">
        <v>467</v>
      </c>
      <c r="E469" s="13">
        <v>0.10339576</v>
      </c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9" t="s">
        <v>468</v>
      </c>
      <c r="E470" s="13">
        <v>0.10339576</v>
      </c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9" t="s">
        <v>469</v>
      </c>
      <c r="E471" s="10">
        <v>0.10339576</v>
      </c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9" t="s">
        <v>470</v>
      </c>
      <c r="E472" s="15">
        <v>0.19282019</v>
      </c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9" t="s">
        <v>471</v>
      </c>
      <c r="E473" s="15">
        <v>-0.2814562</v>
      </c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9" t="s">
        <v>472</v>
      </c>
      <c r="E474" s="10">
        <v>-0.666059</v>
      </c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9" t="s">
        <v>473</v>
      </c>
      <c r="E475" s="15">
        <v>-0.666059</v>
      </c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9" t="s">
        <v>474</v>
      </c>
      <c r="E476" s="15">
        <v>-0.666059</v>
      </c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9" t="s">
        <v>475</v>
      </c>
      <c r="E477" s="15">
        <v>-0.666059</v>
      </c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9" t="s">
        <v>476</v>
      </c>
      <c r="E478" s="15">
        <v>-0.666059</v>
      </c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9" t="s">
        <v>477</v>
      </c>
      <c r="E479" s="15">
        <v>-0.666059</v>
      </c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9" t="s">
        <v>478</v>
      </c>
      <c r="E480" s="15">
        <v>-0.666059</v>
      </c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9" t="s">
        <v>479</v>
      </c>
      <c r="E481" s="10">
        <v>-0.57563186</v>
      </c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9" t="s">
        <v>480</v>
      </c>
      <c r="E482" s="10">
        <v>-0.1731459</v>
      </c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9" t="s">
        <v>481</v>
      </c>
      <c r="E483" s="10">
        <v>0.064020544</v>
      </c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9" t="s">
        <v>482</v>
      </c>
      <c r="E484" s="10">
        <v>0.17871587</v>
      </c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9" t="s">
        <v>483</v>
      </c>
      <c r="E485" s="10">
        <v>0.18717334</v>
      </c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9" t="s">
        <v>484</v>
      </c>
      <c r="E486" s="10">
        <v>0.18717334</v>
      </c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9" t="s">
        <v>485</v>
      </c>
      <c r="E487" s="10">
        <v>0.10352066</v>
      </c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9" t="s">
        <v>486</v>
      </c>
      <c r="E488" s="13">
        <v>0.10352066</v>
      </c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9" t="s">
        <v>487</v>
      </c>
      <c r="E489" s="10">
        <v>0.10352066</v>
      </c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9" t="s">
        <v>488</v>
      </c>
      <c r="E490" s="13">
        <v>0.10352066</v>
      </c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9" t="s">
        <v>489</v>
      </c>
      <c r="E491" s="13">
        <v>0.10352066</v>
      </c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9" t="s">
        <v>490</v>
      </c>
      <c r="E492" s="13">
        <v>0.10352066</v>
      </c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9" t="s">
        <v>491</v>
      </c>
      <c r="E493" s="13">
        <v>0.10352066</v>
      </c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9" t="s">
        <v>492</v>
      </c>
      <c r="E494" s="13">
        <v>0.10352066</v>
      </c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9" t="s">
        <v>493</v>
      </c>
      <c r="E495" s="10">
        <v>0.10352066</v>
      </c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9" t="s">
        <v>494</v>
      </c>
      <c r="E496" s="10">
        <v>0.1929451</v>
      </c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9" t="s">
        <v>495</v>
      </c>
      <c r="E497" s="10">
        <v>-0.19343117</v>
      </c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9" t="s">
        <v>496</v>
      </c>
      <c r="E498" s="15">
        <v>-0.093417525</v>
      </c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9" t="s">
        <v>497</v>
      </c>
      <c r="E499" s="15">
        <v>-0.093417525</v>
      </c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9" t="s">
        <v>498</v>
      </c>
      <c r="E500" s="15">
        <v>-0.093417525</v>
      </c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9" t="s">
        <v>499</v>
      </c>
      <c r="E501" s="10">
        <v>-0.093417525</v>
      </c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9" t="s">
        <v>500</v>
      </c>
      <c r="E502" s="15">
        <v>-0.093417525</v>
      </c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9" t="s">
        <v>501</v>
      </c>
      <c r="E503" s="15">
        <v>-0.093417525</v>
      </c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9" t="s">
        <v>502</v>
      </c>
      <c r="E504" s="15">
        <v>-0.093417525</v>
      </c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9" t="s">
        <v>503</v>
      </c>
      <c r="E505" s="10">
        <v>-0.05546448</v>
      </c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9" t="s">
        <v>504</v>
      </c>
      <c r="E506" s="10">
        <v>0.17626044</v>
      </c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9" t="s">
        <v>505</v>
      </c>
      <c r="E507" s="10">
        <v>0.14397621</v>
      </c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9" t="s">
        <v>506</v>
      </c>
      <c r="E508" s="10">
        <v>0.17884077</v>
      </c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9" t="s">
        <v>507</v>
      </c>
      <c r="E509" s="10">
        <v>0.18729824</v>
      </c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9" t="s">
        <v>508</v>
      </c>
      <c r="E510" s="10">
        <v>0.18729824</v>
      </c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9" t="s">
        <v>509</v>
      </c>
      <c r="E511" s="13">
        <v>0.10352066</v>
      </c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9" t="s">
        <v>510</v>
      </c>
      <c r="E512" s="13">
        <v>0.10352066</v>
      </c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9" t="s">
        <v>511</v>
      </c>
      <c r="E513" s="13">
        <v>0.10352066</v>
      </c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9" t="s">
        <v>512</v>
      </c>
      <c r="E514" s="13">
        <v>0.10352066</v>
      </c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9" t="s">
        <v>513</v>
      </c>
      <c r="E515" s="13">
        <v>0.10352066</v>
      </c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9" t="s">
        <v>514</v>
      </c>
      <c r="E516" s="13">
        <v>0.10352066</v>
      </c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9" t="s">
        <v>515</v>
      </c>
      <c r="E517" s="13">
        <v>0.10352066</v>
      </c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9" t="s">
        <v>516</v>
      </c>
      <c r="E518" s="13">
        <v>0.10352066</v>
      </c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9" t="s">
        <v>517</v>
      </c>
      <c r="E519" s="10">
        <v>0.10352066</v>
      </c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9" t="s">
        <v>518</v>
      </c>
      <c r="E520" s="15">
        <v>0.1929451</v>
      </c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9" t="s">
        <v>519</v>
      </c>
      <c r="E521" s="15">
        <v>-0.19343117</v>
      </c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9" t="s">
        <v>520</v>
      </c>
      <c r="E522" s="10">
        <v>-0.093417525</v>
      </c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9" t="s">
        <v>521</v>
      </c>
      <c r="E523" s="10">
        <v>-0.093417525</v>
      </c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9" t="s">
        <v>522</v>
      </c>
      <c r="E524" s="15">
        <v>-0.093417525</v>
      </c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9" t="s">
        <v>523</v>
      </c>
      <c r="E525" s="15">
        <v>-0.093417525</v>
      </c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9" t="s">
        <v>524</v>
      </c>
      <c r="E526" s="15">
        <v>-0.093417525</v>
      </c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9" t="s">
        <v>525</v>
      </c>
      <c r="E527" s="15">
        <v>-0.093417525</v>
      </c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9" t="s">
        <v>526</v>
      </c>
      <c r="E528" s="15">
        <v>-0.093417525</v>
      </c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9" t="s">
        <v>527</v>
      </c>
      <c r="E529" s="10">
        <v>-0.05546448</v>
      </c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9" t="s">
        <v>528</v>
      </c>
      <c r="E530" s="10">
        <v>0.17626044</v>
      </c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9" t="s">
        <v>529</v>
      </c>
      <c r="E531" s="10">
        <v>0.14397621</v>
      </c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9" t="s">
        <v>530</v>
      </c>
      <c r="E532" s="10">
        <v>0.17884077</v>
      </c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9" t="s">
        <v>531</v>
      </c>
      <c r="E533" s="10">
        <v>0.18729824</v>
      </c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9" t="s">
        <v>532</v>
      </c>
      <c r="E534" s="10">
        <v>0.18729824</v>
      </c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9" t="s">
        <v>533</v>
      </c>
      <c r="E535" s="13">
        <v>0.09715321</v>
      </c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9" t="s">
        <v>534</v>
      </c>
      <c r="E536" s="13">
        <v>0.09715321</v>
      </c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9" t="s">
        <v>535</v>
      </c>
      <c r="E537" s="13">
        <v>0.09715321</v>
      </c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9" t="s">
        <v>536</v>
      </c>
      <c r="E538" s="13">
        <v>0.09715321</v>
      </c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9" t="s">
        <v>537</v>
      </c>
      <c r="E539" s="13">
        <v>0.09715321</v>
      </c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9" t="s">
        <v>538</v>
      </c>
      <c r="E540" s="13">
        <v>0.09715321</v>
      </c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9" t="s">
        <v>539</v>
      </c>
      <c r="E541" s="13">
        <v>0.09715321</v>
      </c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9" t="s">
        <v>540</v>
      </c>
      <c r="E542" s="13">
        <v>0.09715321</v>
      </c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9" t="s">
        <v>541</v>
      </c>
      <c r="E543" s="10">
        <v>0.09715321</v>
      </c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9" t="s">
        <v>542</v>
      </c>
      <c r="E544" s="15">
        <v>0.18657763</v>
      </c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9" t="s">
        <v>543</v>
      </c>
      <c r="E545" s="15">
        <v>-0.33934018</v>
      </c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9" t="s">
        <v>544</v>
      </c>
      <c r="E546" s="15">
        <v>-0.7367326</v>
      </c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9" t="s">
        <v>545</v>
      </c>
      <c r="E547" s="15">
        <v>-0.7367326</v>
      </c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9" t="s">
        <v>546</v>
      </c>
      <c r="E548" s="15">
        <v>-0.7367326</v>
      </c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9" t="s">
        <v>547</v>
      </c>
      <c r="E549" s="15">
        <v>-0.7367326</v>
      </c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9" t="s">
        <v>548</v>
      </c>
      <c r="E550" s="15">
        <v>-0.7367326</v>
      </c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9" t="s">
        <v>549</v>
      </c>
      <c r="E551" s="15">
        <v>-0.7367326</v>
      </c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9" t="s">
        <v>550</v>
      </c>
      <c r="E552" s="15">
        <v>-0.7367326</v>
      </c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9" t="s">
        <v>551</v>
      </c>
      <c r="E553" s="15">
        <v>-0.64630556</v>
      </c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9" t="s">
        <v>552</v>
      </c>
      <c r="E554" s="10">
        <v>-0.24381952</v>
      </c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9" t="s">
        <v>553</v>
      </c>
      <c r="E555" s="10">
        <v>-0.006653034</v>
      </c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9" t="s">
        <v>554</v>
      </c>
      <c r="E556" s="10">
        <v>0.15968363</v>
      </c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9" t="s">
        <v>555</v>
      </c>
      <c r="E557" s="10">
        <v>0.1681411</v>
      </c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9" t="s">
        <v>556</v>
      </c>
      <c r="E558" s="10">
        <v>0.1681411</v>
      </c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9" t="s">
        <v>557</v>
      </c>
      <c r="E559" s="13">
        <v>0.09715321</v>
      </c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9" t="s">
        <v>558</v>
      </c>
      <c r="E560" s="13">
        <v>0.09715321</v>
      </c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9" t="s">
        <v>559</v>
      </c>
      <c r="E561" s="13">
        <v>0.09715321</v>
      </c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9" t="s">
        <v>560</v>
      </c>
      <c r="E562" s="13">
        <v>0.09715321</v>
      </c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9" t="s">
        <v>561</v>
      </c>
      <c r="E563" s="13">
        <v>0.09715321</v>
      </c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9" t="s">
        <v>562</v>
      </c>
      <c r="E564" s="13">
        <v>0.09715321</v>
      </c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9" t="s">
        <v>563</v>
      </c>
      <c r="E565" s="13">
        <v>0.09715321</v>
      </c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9" t="s">
        <v>564</v>
      </c>
      <c r="E566" s="13">
        <v>0.09715321</v>
      </c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9" t="s">
        <v>565</v>
      </c>
      <c r="E567" s="10">
        <v>0.09715321</v>
      </c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9" t="s">
        <v>566</v>
      </c>
      <c r="E568" s="15">
        <v>0.18657763</v>
      </c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9" t="s">
        <v>567</v>
      </c>
      <c r="E569" s="15">
        <v>-0.33934018</v>
      </c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9" t="s">
        <v>568</v>
      </c>
      <c r="E570" s="15">
        <v>-0.7367326</v>
      </c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9" t="s">
        <v>569</v>
      </c>
      <c r="E571" s="15">
        <v>-0.7367326</v>
      </c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9" t="s">
        <v>570</v>
      </c>
      <c r="E572" s="15">
        <v>-0.7367326</v>
      </c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9" t="s">
        <v>571</v>
      </c>
      <c r="E573" s="15">
        <v>-0.7367326</v>
      </c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9" t="s">
        <v>572</v>
      </c>
      <c r="E574" s="15">
        <v>-0.7367326</v>
      </c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9" t="s">
        <v>573</v>
      </c>
      <c r="E575" s="15">
        <v>-0.7367326</v>
      </c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9" t="s">
        <v>574</v>
      </c>
      <c r="E576" s="15">
        <v>-0.7367326</v>
      </c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9" t="s">
        <v>575</v>
      </c>
      <c r="E577" s="10">
        <v>-0.64630556</v>
      </c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9" t="s">
        <v>576</v>
      </c>
      <c r="E578" s="10">
        <v>-0.24381952</v>
      </c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9" t="s">
        <v>577</v>
      </c>
      <c r="E579" s="10">
        <v>-0.006653034</v>
      </c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9" t="s">
        <v>578</v>
      </c>
      <c r="E580" s="10">
        <v>0.15968363</v>
      </c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9" t="s">
        <v>579</v>
      </c>
      <c r="E581" s="10">
        <v>0.1681411</v>
      </c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9" t="s">
        <v>580</v>
      </c>
      <c r="E582" s="10">
        <v>0.1681411</v>
      </c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9" t="s">
        <v>581</v>
      </c>
      <c r="E583" s="13">
        <v>0.09715321</v>
      </c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9" t="s">
        <v>582</v>
      </c>
      <c r="E584" s="13">
        <v>0.09715321</v>
      </c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9" t="s">
        <v>583</v>
      </c>
      <c r="E585" s="13">
        <v>0.09715321</v>
      </c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9" t="s">
        <v>584</v>
      </c>
      <c r="E586" s="13">
        <v>0.09715321</v>
      </c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9" t="s">
        <v>585</v>
      </c>
      <c r="E587" s="13">
        <v>0.09715321</v>
      </c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9" t="s">
        <v>586</v>
      </c>
      <c r="E588" s="13">
        <v>0.09715321</v>
      </c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9" t="s">
        <v>587</v>
      </c>
      <c r="E589" s="13">
        <v>0.09715321</v>
      </c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9" t="s">
        <v>588</v>
      </c>
      <c r="E590" s="13">
        <v>0.09715321</v>
      </c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9" t="s">
        <v>589</v>
      </c>
      <c r="E591" s="10">
        <v>0.09715321</v>
      </c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9" t="s">
        <v>590</v>
      </c>
      <c r="E592" s="15">
        <v>0.18657763</v>
      </c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9" t="s">
        <v>591</v>
      </c>
      <c r="E593" s="15">
        <v>-0.33934018</v>
      </c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9" t="s">
        <v>592</v>
      </c>
      <c r="E594" s="15">
        <v>-0.7367326</v>
      </c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9" t="s">
        <v>593</v>
      </c>
      <c r="E595" s="15">
        <v>-0.7367326</v>
      </c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9" t="s">
        <v>594</v>
      </c>
      <c r="E596" s="15">
        <v>-0.7367326</v>
      </c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9" t="s">
        <v>595</v>
      </c>
      <c r="E597" s="15">
        <v>-0.7367326</v>
      </c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9" t="s">
        <v>596</v>
      </c>
      <c r="E598" s="15">
        <v>-0.7367326</v>
      </c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9" t="s">
        <v>597</v>
      </c>
      <c r="E599" s="15">
        <v>-0.7367326</v>
      </c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9" t="s">
        <v>598</v>
      </c>
      <c r="E600" s="10">
        <v>-0.7367326</v>
      </c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9" t="s">
        <v>599</v>
      </c>
      <c r="E601" s="10">
        <v>-0.64630556</v>
      </c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9" t="s">
        <v>600</v>
      </c>
      <c r="E602" s="10">
        <v>-0.24381952</v>
      </c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9" t="s">
        <v>601</v>
      </c>
      <c r="E603" s="10">
        <v>-0.006653034</v>
      </c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9" t="s">
        <v>602</v>
      </c>
      <c r="E604" s="10">
        <v>0.15968363</v>
      </c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9" t="s">
        <v>603</v>
      </c>
      <c r="E605" s="10">
        <v>0.1681411</v>
      </c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9" t="s">
        <v>604</v>
      </c>
      <c r="E606" s="10">
        <v>0.1681411</v>
      </c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9" t="s">
        <v>605</v>
      </c>
      <c r="E607" s="13">
        <v>0.09715321</v>
      </c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9" t="s">
        <v>606</v>
      </c>
      <c r="E608" s="13">
        <v>0.09715321</v>
      </c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9" t="s">
        <v>607</v>
      </c>
      <c r="E609" s="13">
        <v>0.09715321</v>
      </c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9" t="s">
        <v>608</v>
      </c>
      <c r="E610" s="13">
        <v>0.09715321</v>
      </c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9" t="s">
        <v>609</v>
      </c>
      <c r="E611" s="13">
        <v>0.09715321</v>
      </c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9" t="s">
        <v>610</v>
      </c>
      <c r="E612" s="13">
        <v>0.09715321</v>
      </c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9" t="s">
        <v>611</v>
      </c>
      <c r="E613" s="13">
        <v>0.09715321</v>
      </c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9" t="s">
        <v>612</v>
      </c>
      <c r="E614" s="13">
        <v>0.09715321</v>
      </c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9" t="s">
        <v>613</v>
      </c>
      <c r="E615" s="10">
        <v>0.09715321</v>
      </c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9" t="s">
        <v>614</v>
      </c>
      <c r="E616" s="15">
        <v>0.18657763</v>
      </c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9" t="s">
        <v>615</v>
      </c>
      <c r="E617" s="15">
        <v>-0.33934018</v>
      </c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9" t="s">
        <v>616</v>
      </c>
      <c r="E618" s="15">
        <v>-0.7367326</v>
      </c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9" t="s">
        <v>617</v>
      </c>
      <c r="E619" s="15">
        <v>-0.7367326</v>
      </c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9" t="s">
        <v>618</v>
      </c>
      <c r="E620" s="15">
        <v>-0.7367326</v>
      </c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9" t="s">
        <v>619</v>
      </c>
      <c r="E621" s="15">
        <v>-0.7367326</v>
      </c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9" t="s">
        <v>620</v>
      </c>
      <c r="E622" s="15">
        <v>-0.7367326</v>
      </c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9" t="s">
        <v>621</v>
      </c>
      <c r="E623" s="15">
        <v>-0.7367326</v>
      </c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9" t="s">
        <v>622</v>
      </c>
      <c r="E624" s="15">
        <v>-0.7367326</v>
      </c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9" t="s">
        <v>623</v>
      </c>
      <c r="E625" s="10">
        <v>-0.64630556</v>
      </c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9" t="s">
        <v>624</v>
      </c>
      <c r="E626" s="10">
        <v>-0.24381952</v>
      </c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9" t="s">
        <v>625</v>
      </c>
      <c r="E627" s="10">
        <v>-0.006653034</v>
      </c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9" t="s">
        <v>626</v>
      </c>
      <c r="E628" s="10">
        <v>0.15968363</v>
      </c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9" t="s">
        <v>627</v>
      </c>
      <c r="E629" s="10">
        <v>0.1681411</v>
      </c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9" t="s">
        <v>628</v>
      </c>
      <c r="E630" s="10">
        <v>0.1681411</v>
      </c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9" t="s">
        <v>629</v>
      </c>
      <c r="E631" s="13">
        <v>0.10339576</v>
      </c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9" t="s">
        <v>630</v>
      </c>
      <c r="E632" s="13">
        <v>0.10339576</v>
      </c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9" t="s">
        <v>631</v>
      </c>
      <c r="E633" s="13">
        <v>0.10339576</v>
      </c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9" t="s">
        <v>632</v>
      </c>
      <c r="E634" s="13">
        <v>0.10339576</v>
      </c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9" t="s">
        <v>633</v>
      </c>
      <c r="E635" s="13">
        <v>0.10339576</v>
      </c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9" t="s">
        <v>634</v>
      </c>
      <c r="E636" s="13">
        <v>0.10339576</v>
      </c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9" t="s">
        <v>635</v>
      </c>
      <c r="E637" s="13">
        <v>0.10339576</v>
      </c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9" t="s">
        <v>636</v>
      </c>
      <c r="E638" s="13">
        <v>0.10339576</v>
      </c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9" t="s">
        <v>637</v>
      </c>
      <c r="E639" s="10">
        <v>0.10339576</v>
      </c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9" t="s">
        <v>638</v>
      </c>
      <c r="E640" s="15">
        <v>0.19282019</v>
      </c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9" t="s">
        <v>639</v>
      </c>
      <c r="E641" s="15">
        <v>-0.2814562</v>
      </c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9" t="s">
        <v>640</v>
      </c>
      <c r="E642" s="15">
        <v>-0.666059</v>
      </c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9" t="s">
        <v>641</v>
      </c>
      <c r="E643" s="15">
        <v>-0.666059</v>
      </c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9" t="s">
        <v>642</v>
      </c>
      <c r="E644" s="15">
        <v>-0.666059</v>
      </c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9" t="s">
        <v>643</v>
      </c>
      <c r="E645" s="15">
        <v>-0.666059</v>
      </c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9" t="s">
        <v>644</v>
      </c>
      <c r="E646" s="15">
        <v>-0.666059</v>
      </c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9" t="s">
        <v>645</v>
      </c>
      <c r="E647" s="15">
        <v>-0.666059</v>
      </c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9" t="s">
        <v>646</v>
      </c>
      <c r="E648" s="15">
        <v>-0.666059</v>
      </c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9" t="s">
        <v>647</v>
      </c>
      <c r="E649" s="15">
        <v>-0.57563186</v>
      </c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9" t="s">
        <v>648</v>
      </c>
      <c r="E650" s="10">
        <v>-0.1731459</v>
      </c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9" t="s">
        <v>649</v>
      </c>
      <c r="E651" s="10">
        <v>0.064020544</v>
      </c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9" t="s">
        <v>650</v>
      </c>
      <c r="E652" s="10">
        <v>0.17871587</v>
      </c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9" t="s">
        <v>651</v>
      </c>
      <c r="E653" s="10">
        <v>0.18717334</v>
      </c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9" t="s">
        <v>652</v>
      </c>
      <c r="E654" s="10">
        <v>0.18717334</v>
      </c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9" t="s">
        <v>653</v>
      </c>
      <c r="E655" s="13">
        <v>0.10352066</v>
      </c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9" t="s">
        <v>654</v>
      </c>
      <c r="E656" s="13">
        <v>0.10352066</v>
      </c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9" t="s">
        <v>655</v>
      </c>
      <c r="E657" s="13">
        <v>0.10352066</v>
      </c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9" t="s">
        <v>656</v>
      </c>
      <c r="E658" s="13">
        <v>0.10352066</v>
      </c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9" t="s">
        <v>657</v>
      </c>
      <c r="E659" s="13">
        <v>0.10352066</v>
      </c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9" t="s">
        <v>658</v>
      </c>
      <c r="E660" s="13">
        <v>0.10352066</v>
      </c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9" t="s">
        <v>659</v>
      </c>
      <c r="E661" s="13">
        <v>0.10352066</v>
      </c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9" t="s">
        <v>660</v>
      </c>
      <c r="E662" s="13">
        <v>0.10352066</v>
      </c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9" t="s">
        <v>661</v>
      </c>
      <c r="E663" s="10">
        <v>0.10352066</v>
      </c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9" t="s">
        <v>662</v>
      </c>
      <c r="E664" s="15">
        <v>0.1929451</v>
      </c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9" t="s">
        <v>663</v>
      </c>
      <c r="E665" s="15">
        <v>-0.19343117</v>
      </c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9" t="s">
        <v>664</v>
      </c>
      <c r="E666" s="15">
        <v>-0.093417525</v>
      </c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9" t="s">
        <v>665</v>
      </c>
      <c r="E667" s="15">
        <v>-0.093417525</v>
      </c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9" t="s">
        <v>666</v>
      </c>
      <c r="E668" s="15">
        <v>-0.093417525</v>
      </c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9" t="s">
        <v>667</v>
      </c>
      <c r="E669" s="15">
        <v>-0.093417525</v>
      </c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9" t="s">
        <v>668</v>
      </c>
      <c r="E670" s="15">
        <v>-0.093417525</v>
      </c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9" t="s">
        <v>669</v>
      </c>
      <c r="E671" s="15">
        <v>-0.093417525</v>
      </c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9" t="s">
        <v>670</v>
      </c>
      <c r="E672" s="15">
        <v>-0.093417525</v>
      </c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9" t="s">
        <v>671</v>
      </c>
      <c r="E673" s="15">
        <v>-0.05546448</v>
      </c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9" t="s">
        <v>672</v>
      </c>
      <c r="E674" s="10">
        <v>0.17626044</v>
      </c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9" t="s">
        <v>673</v>
      </c>
      <c r="E675" s="10">
        <v>0.14397621</v>
      </c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9" t="s">
        <v>674</v>
      </c>
      <c r="E676" s="10">
        <v>0.17884077</v>
      </c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9" t="s">
        <v>675</v>
      </c>
      <c r="E677" s="10">
        <v>0.18729824</v>
      </c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9" t="s">
        <v>676</v>
      </c>
      <c r="E678" s="10">
        <v>0.18729824</v>
      </c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9" t="s">
        <v>677</v>
      </c>
      <c r="E679" s="13">
        <v>0.10352066</v>
      </c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9" t="s">
        <v>678</v>
      </c>
      <c r="E680" s="13">
        <v>0.10352066</v>
      </c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9" t="s">
        <v>679</v>
      </c>
      <c r="E681" s="13">
        <v>0.10352066</v>
      </c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9" t="s">
        <v>680</v>
      </c>
      <c r="E682" s="13">
        <v>0.10352066</v>
      </c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9" t="s">
        <v>681</v>
      </c>
      <c r="E683" s="13">
        <v>0.10352066</v>
      </c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9" t="s">
        <v>682</v>
      </c>
      <c r="E684" s="13">
        <v>0.10352066</v>
      </c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9" t="s">
        <v>683</v>
      </c>
      <c r="E685" s="13">
        <v>0.10352066</v>
      </c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9" t="s">
        <v>684</v>
      </c>
      <c r="E686" s="13">
        <v>0.10352066</v>
      </c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9" t="s">
        <v>685</v>
      </c>
      <c r="E687" s="10">
        <v>0.10352066</v>
      </c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9" t="s">
        <v>686</v>
      </c>
      <c r="E688" s="15">
        <v>0.1929451</v>
      </c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9" t="s">
        <v>687</v>
      </c>
      <c r="E689" s="15">
        <v>-0.19343117</v>
      </c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9" t="s">
        <v>688</v>
      </c>
      <c r="E690" s="10">
        <v>-0.093417525</v>
      </c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9" t="s">
        <v>689</v>
      </c>
      <c r="E691" s="10">
        <v>-0.093417525</v>
      </c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9" t="s">
        <v>690</v>
      </c>
      <c r="E692" s="15">
        <v>-0.093417525</v>
      </c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9" t="s">
        <v>691</v>
      </c>
      <c r="E693" s="15">
        <v>-0.093417525</v>
      </c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9" t="s">
        <v>692</v>
      </c>
      <c r="E694" s="15">
        <v>-0.093417525</v>
      </c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9" t="s">
        <v>693</v>
      </c>
      <c r="E695" s="15">
        <v>-0.093417525</v>
      </c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9" t="s">
        <v>694</v>
      </c>
      <c r="E696" s="15">
        <v>-0.093417525</v>
      </c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9" t="s">
        <v>695</v>
      </c>
      <c r="E697" s="15">
        <v>-0.05546448</v>
      </c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9" t="s">
        <v>696</v>
      </c>
      <c r="E698" s="10">
        <v>0.17626044</v>
      </c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9" t="s">
        <v>697</v>
      </c>
      <c r="E699" s="10">
        <v>0.14397621</v>
      </c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9" t="s">
        <v>698</v>
      </c>
      <c r="E700" s="10">
        <v>0.17884077</v>
      </c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9" t="s">
        <v>699</v>
      </c>
      <c r="E701" s="10">
        <v>0.18729824</v>
      </c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9" t="s">
        <v>700</v>
      </c>
      <c r="E702" s="10">
        <v>0.18729824</v>
      </c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9" t="s">
        <v>701</v>
      </c>
      <c r="E703" s="10">
        <v>0.09715321</v>
      </c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9" t="s">
        <v>702</v>
      </c>
      <c r="E704" s="13">
        <v>0.09715321</v>
      </c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9" t="s">
        <v>703</v>
      </c>
      <c r="E705" s="13">
        <v>0.09715321</v>
      </c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9" t="s">
        <v>704</v>
      </c>
      <c r="E706" s="13">
        <v>0.09715321</v>
      </c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9" t="s">
        <v>705</v>
      </c>
      <c r="E707" s="13">
        <v>0.09715321</v>
      </c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9" t="s">
        <v>706</v>
      </c>
      <c r="E708" s="13">
        <v>0.09715321</v>
      </c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9" t="s">
        <v>707</v>
      </c>
      <c r="E709" s="13">
        <v>0.09715321</v>
      </c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9" t="s">
        <v>708</v>
      </c>
      <c r="E710" s="13">
        <v>0.09715321</v>
      </c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9" t="s">
        <v>709</v>
      </c>
      <c r="E711" s="15">
        <v>0.09715321</v>
      </c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9" t="s">
        <v>710</v>
      </c>
      <c r="E712" s="15">
        <v>0.18657763</v>
      </c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9" t="s">
        <v>711</v>
      </c>
      <c r="E713" s="15">
        <v>-0.33934018</v>
      </c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9" t="s">
        <v>712</v>
      </c>
      <c r="E714" s="15">
        <v>-0.7367326</v>
      </c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9" t="s">
        <v>713</v>
      </c>
      <c r="E715" s="15">
        <v>-0.7367326</v>
      </c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9" t="s">
        <v>714</v>
      </c>
      <c r="E716" s="15">
        <v>-0.7367326</v>
      </c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9" t="s">
        <v>715</v>
      </c>
      <c r="E717" s="15">
        <v>-0.7367326</v>
      </c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9" t="s">
        <v>716</v>
      </c>
      <c r="E718" s="15">
        <v>-0.7367326</v>
      </c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9" t="s">
        <v>717</v>
      </c>
      <c r="E719" s="15">
        <v>-0.7367326</v>
      </c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9" t="s">
        <v>718</v>
      </c>
      <c r="E720" s="15">
        <v>-0.7367326</v>
      </c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9" t="s">
        <v>719</v>
      </c>
      <c r="E721" s="15">
        <v>-0.64630556</v>
      </c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9" t="s">
        <v>720</v>
      </c>
      <c r="E722" s="15">
        <v>-0.24381952</v>
      </c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9" t="s">
        <v>721</v>
      </c>
      <c r="E723" s="15">
        <v>-0.006653034</v>
      </c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9" t="s">
        <v>722</v>
      </c>
      <c r="E724" s="15">
        <v>0.15968363</v>
      </c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9" t="s">
        <v>723</v>
      </c>
      <c r="E725" s="15">
        <v>0.1681411</v>
      </c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9" t="s">
        <v>724</v>
      </c>
      <c r="E726" s="15">
        <v>0.1681411</v>
      </c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2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2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1.43"/>
    <col customWidth="1" min="4" max="4" width="28.86"/>
    <col customWidth="1" min="5" max="7" width="11.43"/>
    <col customWidth="1" min="8" max="8" width="17.0"/>
    <col customWidth="1" min="9" max="9" width="12.0"/>
    <col customWidth="1" min="10" max="10" width="11.43"/>
    <col customWidth="1" min="11" max="11" width="19.86"/>
    <col customWidth="1" min="12" max="12" width="12.29"/>
    <col customWidth="1" min="13" max="26" width="11.43"/>
  </cols>
  <sheetData>
    <row r="1">
      <c r="A1" s="16"/>
      <c r="B1" s="16"/>
      <c r="C1" s="16"/>
      <c r="D1" s="16"/>
      <c r="E1" s="17"/>
      <c r="F1" s="16"/>
      <c r="G1" s="16"/>
      <c r="H1" s="16"/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"/>
      <c r="B2" s="16"/>
      <c r="C2" s="16"/>
      <c r="D2" s="16"/>
      <c r="E2" s="17"/>
      <c r="F2" s="16"/>
      <c r="G2" s="16"/>
      <c r="H2" s="16"/>
      <c r="I2" s="17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6"/>
      <c r="B3" s="16"/>
      <c r="C3" s="16"/>
      <c r="D3" s="16"/>
      <c r="E3" s="17"/>
      <c r="F3" s="16"/>
      <c r="G3" s="16"/>
      <c r="H3" s="16"/>
      <c r="I3" s="17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6"/>
      <c r="B4" s="16"/>
      <c r="C4" s="16"/>
      <c r="D4" s="16"/>
      <c r="E4" s="17"/>
      <c r="F4" s="16"/>
      <c r="G4" s="16"/>
      <c r="H4" s="16"/>
      <c r="I4" s="17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6"/>
      <c r="B5" s="16"/>
      <c r="C5" s="16"/>
      <c r="D5" s="16"/>
      <c r="E5" s="17"/>
      <c r="F5" s="16"/>
      <c r="G5" s="16"/>
      <c r="H5" s="16"/>
      <c r="I5" s="17" t="s">
        <v>725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6"/>
      <c r="B6" s="16"/>
      <c r="C6" s="16"/>
      <c r="D6" s="16"/>
      <c r="E6" s="17"/>
      <c r="F6" s="16"/>
      <c r="G6" s="16"/>
      <c r="H6" s="16"/>
      <c r="I6" s="17" t="s">
        <v>726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6"/>
      <c r="B7" s="16"/>
      <c r="C7" s="16"/>
      <c r="D7" s="18" t="s">
        <v>0</v>
      </c>
      <c r="E7" s="19" t="s">
        <v>727</v>
      </c>
      <c r="F7" s="18" t="s">
        <v>728</v>
      </c>
      <c r="G7" s="18" t="s">
        <v>729</v>
      </c>
      <c r="H7" s="16"/>
      <c r="I7" s="17" t="s">
        <v>730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16"/>
      <c r="D8" s="16" t="s">
        <v>4</v>
      </c>
      <c r="E8" s="17">
        <v>0.0</v>
      </c>
      <c r="F8" s="16">
        <f>Tabelle1!E7-Hoja1!E8</f>
        <v>0.08440452</v>
      </c>
      <c r="G8" s="16">
        <f t="shared" ref="G8:G727" si="1">ABS(F8)</f>
        <v>0.08440452</v>
      </c>
      <c r="H8" s="16"/>
      <c r="I8" s="17">
        <v>0.0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"/>
      <c r="B9" s="16"/>
      <c r="C9" s="16"/>
      <c r="D9" s="16" t="s">
        <v>5</v>
      </c>
      <c r="E9" s="17">
        <v>0.0</v>
      </c>
      <c r="F9" s="16">
        <f>Tabelle1!E8-Hoja1!E9</f>
        <v>0.08440452</v>
      </c>
      <c r="G9" s="16">
        <f t="shared" si="1"/>
        <v>0.08440452</v>
      </c>
      <c r="H9" s="16"/>
      <c r="I9" s="17">
        <v>0.0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6"/>
      <c r="B10" s="16"/>
      <c r="C10" s="16"/>
      <c r="D10" s="16" t="s">
        <v>7</v>
      </c>
      <c r="E10" s="17">
        <v>0.0</v>
      </c>
      <c r="F10" s="20">
        <f>Tabelle1!E9-Hoja1!E10</f>
        <v>0.08440452</v>
      </c>
      <c r="G10" s="16">
        <f t="shared" si="1"/>
        <v>0.08440452</v>
      </c>
      <c r="H10" s="16"/>
      <c r="I10" s="17">
        <v>0.0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6"/>
      <c r="B11" s="16"/>
      <c r="C11" s="16"/>
      <c r="D11" s="16" t="s">
        <v>8</v>
      </c>
      <c r="E11" s="17">
        <v>0.0</v>
      </c>
      <c r="F11" s="20">
        <f>Tabelle1!E10-Hoja1!E11</f>
        <v>0.08440452</v>
      </c>
      <c r="G11" s="16">
        <f t="shared" si="1"/>
        <v>0.08440452</v>
      </c>
      <c r="H11" s="16"/>
      <c r="I11" s="17">
        <v>0.0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6"/>
      <c r="B12" s="16"/>
      <c r="C12" s="16"/>
      <c r="D12" s="16" t="s">
        <v>9</v>
      </c>
      <c r="E12" s="17">
        <v>0.0</v>
      </c>
      <c r="F12" s="20">
        <f>Tabelle1!E11-Hoja1!E12</f>
        <v>0.08440452</v>
      </c>
      <c r="G12" s="16">
        <f t="shared" si="1"/>
        <v>0.08440452</v>
      </c>
      <c r="H12" s="16"/>
      <c r="I12" s="17">
        <v>0.0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6"/>
      <c r="B13" s="16"/>
      <c r="C13" s="16"/>
      <c r="D13" s="16" t="s">
        <v>10</v>
      </c>
      <c r="E13" s="17">
        <v>0.0</v>
      </c>
      <c r="F13" s="20">
        <f>Tabelle1!E12-Hoja1!E13</f>
        <v>0.08440452</v>
      </c>
      <c r="G13" s="16">
        <f t="shared" si="1"/>
        <v>0.08440452</v>
      </c>
      <c r="H13" s="16"/>
      <c r="I13" s="17">
        <v>0.0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6"/>
      <c r="B14" s="16"/>
      <c r="C14" s="16"/>
      <c r="D14" s="16" t="s">
        <v>11</v>
      </c>
      <c r="E14" s="17">
        <v>0.0</v>
      </c>
      <c r="F14" s="20">
        <f>Tabelle1!E13-Hoja1!E14</f>
        <v>0.08440452</v>
      </c>
      <c r="G14" s="16">
        <f t="shared" si="1"/>
        <v>0.08440452</v>
      </c>
      <c r="H14" s="16"/>
      <c r="I14" s="17">
        <v>0.0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6"/>
      <c r="B15" s="16"/>
      <c r="C15" s="16"/>
      <c r="D15" s="16" t="s">
        <v>12</v>
      </c>
      <c r="E15" s="17">
        <v>0.0</v>
      </c>
      <c r="F15" s="20">
        <f>Tabelle1!E14-Hoja1!E15</f>
        <v>0.08440452</v>
      </c>
      <c r="G15" s="16">
        <f t="shared" si="1"/>
        <v>0.08440452</v>
      </c>
      <c r="H15" s="16"/>
      <c r="I15" s="17">
        <v>0.0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6"/>
      <c r="B16" s="16"/>
      <c r="C16" s="16"/>
      <c r="D16" s="16" t="s">
        <v>13</v>
      </c>
      <c r="E16" s="17">
        <v>0.0</v>
      </c>
      <c r="F16" s="16">
        <f>Tabelle1!E15-Hoja1!E16</f>
        <v>0.08440452</v>
      </c>
      <c r="G16" s="16">
        <f t="shared" si="1"/>
        <v>0.08440452</v>
      </c>
      <c r="H16" s="16"/>
      <c r="I16" s="17">
        <v>0.10999999998603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6"/>
      <c r="B17" s="16"/>
      <c r="C17" s="16"/>
      <c r="D17" s="16" t="s">
        <v>14</v>
      </c>
      <c r="E17" s="17">
        <v>7.3280937379716</v>
      </c>
      <c r="F17" s="21">
        <f>Tabelle1!E16-Hoja1!E17</f>
        <v>-7.154264778</v>
      </c>
      <c r="G17" s="16">
        <f t="shared" si="1"/>
        <v>7.154264778</v>
      </c>
      <c r="H17" s="16"/>
      <c r="I17" s="17">
        <v>6.04999999998835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6"/>
      <c r="B18" s="16"/>
      <c r="C18" s="16"/>
      <c r="D18" s="16" t="s">
        <v>15</v>
      </c>
      <c r="E18" s="17">
        <v>20.9583181375931</v>
      </c>
      <c r="F18" s="21">
        <f>Tabelle1!E17-Hoja1!E18</f>
        <v>-21.17086543</v>
      </c>
      <c r="G18" s="16">
        <f t="shared" si="1"/>
        <v>21.17086543</v>
      </c>
      <c r="H18" s="16"/>
      <c r="I18" s="17">
        <v>20.5599999999976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6"/>
      <c r="B19" s="16"/>
      <c r="C19" s="16"/>
      <c r="D19" s="16" t="s">
        <v>16</v>
      </c>
      <c r="E19" s="17">
        <v>22.1486418298209</v>
      </c>
      <c r="F19" s="16">
        <f>Tabelle1!E18-Hoja1!E19</f>
        <v>-22.26117549</v>
      </c>
      <c r="G19" s="16">
        <f t="shared" si="1"/>
        <v>22.26117549</v>
      </c>
      <c r="H19" s="16"/>
      <c r="I19" s="17">
        <v>26.0500000000465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6"/>
      <c r="B20" s="16"/>
      <c r="C20" s="16"/>
      <c r="D20" s="16" t="s">
        <v>17</v>
      </c>
      <c r="E20" s="17">
        <v>98.137832308738</v>
      </c>
      <c r="F20" s="16">
        <f>Tabelle1!E19-Hoja1!E20</f>
        <v>-98.25036597</v>
      </c>
      <c r="G20" s="16">
        <f t="shared" si="1"/>
        <v>98.25036597</v>
      </c>
      <c r="H20" s="16"/>
      <c r="I20" s="17">
        <v>13.1399999999557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15.75" customHeight="1">
      <c r="A21" s="16"/>
      <c r="B21" s="16"/>
      <c r="C21" s="16"/>
      <c r="D21" s="16" t="s">
        <v>18</v>
      </c>
      <c r="E21" s="17">
        <v>111.102561890846</v>
      </c>
      <c r="F21" s="16">
        <f>Tabelle1!E20-Hoja1!E21</f>
        <v>-111.2150956</v>
      </c>
      <c r="G21" s="16">
        <f t="shared" si="1"/>
        <v>111.2150956</v>
      </c>
      <c r="H21" s="16"/>
      <c r="I21" s="17">
        <v>31.2600000000093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5.75" customHeight="1">
      <c r="A22" s="16"/>
      <c r="B22" s="16"/>
      <c r="C22" s="16"/>
      <c r="D22" s="16" t="s">
        <v>19</v>
      </c>
      <c r="E22" s="17">
        <v>97.8569010274316</v>
      </c>
      <c r="F22" s="16">
        <f>Tabelle1!E21-Hoja1!E22</f>
        <v>-97.96943469</v>
      </c>
      <c r="G22" s="16">
        <f t="shared" si="1"/>
        <v>97.96943469</v>
      </c>
      <c r="H22" s="16"/>
      <c r="I22" s="17">
        <v>36.6699999999837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15.75" customHeight="1">
      <c r="A23" s="16"/>
      <c r="B23" s="16"/>
      <c r="C23" s="16"/>
      <c r="D23" s="16" t="s">
        <v>20</v>
      </c>
      <c r="E23" s="17">
        <v>110.899203120148</v>
      </c>
      <c r="F23" s="21">
        <f>Tabelle1!E22-Hoja1!E23</f>
        <v>-111.0117368</v>
      </c>
      <c r="G23" s="16">
        <f t="shared" si="1"/>
        <v>111.0117368</v>
      </c>
      <c r="H23" s="16"/>
      <c r="I23" s="17">
        <v>16.8500000000349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5.75" customHeight="1">
      <c r="A24" s="16"/>
      <c r="B24" s="16"/>
      <c r="C24" s="16"/>
      <c r="D24" s="16" t="s">
        <v>21</v>
      </c>
      <c r="E24" s="17">
        <v>108.022870362942</v>
      </c>
      <c r="F24" s="21">
        <f>Tabelle1!E23-Hoja1!E24</f>
        <v>-108.135404</v>
      </c>
      <c r="G24" s="16">
        <f t="shared" si="1"/>
        <v>108.135404</v>
      </c>
      <c r="H24" s="16"/>
      <c r="I24" s="17">
        <v>14.1300000000046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15.75" customHeight="1">
      <c r="A25" s="16"/>
      <c r="B25" s="16"/>
      <c r="C25" s="16"/>
      <c r="D25" s="16" t="s">
        <v>22</v>
      </c>
      <c r="E25" s="17">
        <v>98.4513224748519</v>
      </c>
      <c r="F25" s="16">
        <f>Tabelle1!E24-Hoja1!E25</f>
        <v>-98.56385613</v>
      </c>
      <c r="G25" s="16">
        <f t="shared" si="1"/>
        <v>98.56385613</v>
      </c>
      <c r="H25" s="16"/>
      <c r="I25" s="17">
        <v>12.2099999999627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5.75" customHeight="1">
      <c r="A26" s="16"/>
      <c r="B26" s="16"/>
      <c r="C26" s="16"/>
      <c r="D26" s="16" t="s">
        <v>23</v>
      </c>
      <c r="E26" s="17">
        <v>70.6588822626883</v>
      </c>
      <c r="F26" s="16">
        <f>Tabelle1!E25-Hoja1!E26</f>
        <v>-70.73346287</v>
      </c>
      <c r="G26" s="16">
        <f t="shared" si="1"/>
        <v>70.73346287</v>
      </c>
      <c r="H26" s="16"/>
      <c r="I26" s="17">
        <v>83.4300000000512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5.75" customHeight="1">
      <c r="A27" s="16"/>
      <c r="B27" s="16"/>
      <c r="C27" s="16"/>
      <c r="D27" s="16" t="s">
        <v>24</v>
      </c>
      <c r="E27" s="17">
        <v>45.7514116570398</v>
      </c>
      <c r="F27" s="21">
        <f>Tabelle1!E26-Hoja1!E27</f>
        <v>-45.59426734</v>
      </c>
      <c r="G27" s="16">
        <f t="shared" si="1"/>
        <v>45.59426734</v>
      </c>
      <c r="H27" s="16"/>
      <c r="I27" s="17">
        <v>46.6199999999953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15.75" customHeight="1">
      <c r="A28" s="16"/>
      <c r="B28" s="16"/>
      <c r="C28" s="16"/>
      <c r="D28" s="16" t="s">
        <v>25</v>
      </c>
      <c r="E28" s="17">
        <v>18.0819418210761</v>
      </c>
      <c r="F28" s="16">
        <f>Tabelle1!E27-Hoja1!E28</f>
        <v>-17.95708174</v>
      </c>
      <c r="G28" s="16">
        <f t="shared" si="1"/>
        <v>17.95708174</v>
      </c>
      <c r="H28" s="16"/>
      <c r="I28" s="17">
        <v>19.2299999999813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5.75" customHeight="1">
      <c r="A29" s="16"/>
      <c r="B29" s="16"/>
      <c r="C29" s="16"/>
      <c r="D29" s="16" t="s">
        <v>26</v>
      </c>
      <c r="E29" s="17">
        <v>1.95394045038512</v>
      </c>
      <c r="F29" s="16">
        <f>Tabelle1!E28-Hoja1!E29</f>
        <v>-1.79421581</v>
      </c>
      <c r="G29" s="16">
        <f t="shared" si="1"/>
        <v>1.79421581</v>
      </c>
      <c r="H29" s="16"/>
      <c r="I29" s="17">
        <v>2.42999999999301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5.75" customHeight="1">
      <c r="A30" s="16"/>
      <c r="B30" s="16"/>
      <c r="C30" s="16"/>
      <c r="D30" s="16" t="s">
        <v>27</v>
      </c>
      <c r="E30" s="17">
        <v>0.0</v>
      </c>
      <c r="F30" s="16">
        <f>Tabelle1!E29-Hoja1!E30</f>
        <v>0.1681821</v>
      </c>
      <c r="G30" s="16">
        <f t="shared" si="1"/>
        <v>0.1681821</v>
      </c>
      <c r="H30" s="16"/>
      <c r="I30" s="17">
        <v>0.0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15.75" customHeight="1">
      <c r="A31" s="16"/>
      <c r="B31" s="16"/>
      <c r="C31" s="16"/>
      <c r="D31" s="16" t="s">
        <v>28</v>
      </c>
      <c r="E31" s="17">
        <v>0.0</v>
      </c>
      <c r="F31" s="16">
        <f>Tabelle1!E30-Hoja1!E31</f>
        <v>0.1681821</v>
      </c>
      <c r="G31" s="16">
        <f t="shared" si="1"/>
        <v>0.1681821</v>
      </c>
      <c r="H31" s="16"/>
      <c r="I31" s="17">
        <v>0.0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15.75" customHeight="1">
      <c r="A32" s="16"/>
      <c r="B32" s="16"/>
      <c r="C32" s="16"/>
      <c r="D32" s="16" t="s">
        <v>29</v>
      </c>
      <c r="E32" s="17">
        <v>0.0</v>
      </c>
      <c r="F32" s="16">
        <f>Tabelle1!E31-Hoja1!E32</f>
        <v>0.07803707</v>
      </c>
      <c r="G32" s="16">
        <f t="shared" si="1"/>
        <v>0.07803707</v>
      </c>
      <c r="H32" s="16"/>
      <c r="I32" s="17">
        <v>0.0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15.75" customHeight="1">
      <c r="A33" s="16"/>
      <c r="B33" s="16"/>
      <c r="C33" s="16"/>
      <c r="D33" s="16" t="s">
        <v>30</v>
      </c>
      <c r="E33" s="17">
        <v>0.0</v>
      </c>
      <c r="F33" s="20">
        <f>Tabelle1!E32-Hoja1!E33</f>
        <v>0.07803707</v>
      </c>
      <c r="G33" s="16">
        <f t="shared" si="1"/>
        <v>0.07803707</v>
      </c>
      <c r="H33" s="16"/>
      <c r="I33" s="17">
        <v>0.0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15.75" customHeight="1">
      <c r="A34" s="16"/>
      <c r="B34" s="16"/>
      <c r="C34" s="16"/>
      <c r="D34" s="16" t="s">
        <v>31</v>
      </c>
      <c r="E34" s="17">
        <v>0.0</v>
      </c>
      <c r="F34" s="16">
        <f>Tabelle1!E33-Hoja1!E34</f>
        <v>0.07803707</v>
      </c>
      <c r="G34" s="16">
        <f t="shared" si="1"/>
        <v>0.07803707</v>
      </c>
      <c r="H34" s="16"/>
      <c r="I34" s="17">
        <v>0.0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15.75" customHeight="1">
      <c r="A35" s="16"/>
      <c r="B35" s="16"/>
      <c r="C35" s="16"/>
      <c r="D35" s="16" t="s">
        <v>32</v>
      </c>
      <c r="E35" s="17">
        <v>0.0</v>
      </c>
      <c r="F35" s="20">
        <f>Tabelle1!E34-Hoja1!E35</f>
        <v>0.07803707</v>
      </c>
      <c r="G35" s="16">
        <f t="shared" si="1"/>
        <v>0.07803707</v>
      </c>
      <c r="H35" s="16"/>
      <c r="I35" s="17">
        <v>0.0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15.75" customHeight="1">
      <c r="A36" s="16"/>
      <c r="B36" s="16"/>
      <c r="C36" s="16"/>
      <c r="D36" s="16" t="s">
        <v>33</v>
      </c>
      <c r="E36" s="17">
        <v>0.0</v>
      </c>
      <c r="F36" s="20">
        <f>Tabelle1!E35-Hoja1!E36</f>
        <v>0.07803707</v>
      </c>
      <c r="G36" s="16">
        <f t="shared" si="1"/>
        <v>0.07803707</v>
      </c>
      <c r="H36" s="16"/>
      <c r="I36" s="17">
        <v>0.0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15.75" customHeight="1">
      <c r="A37" s="16"/>
      <c r="B37" s="16"/>
      <c r="C37" s="16"/>
      <c r="D37" s="16" t="s">
        <v>34</v>
      </c>
      <c r="E37" s="17">
        <v>0.0</v>
      </c>
      <c r="F37" s="20">
        <f>Tabelle1!E36-Hoja1!E37</f>
        <v>0.07803707</v>
      </c>
      <c r="G37" s="16">
        <f t="shared" si="1"/>
        <v>0.07803707</v>
      </c>
      <c r="H37" s="16"/>
      <c r="I37" s="17">
        <v>0.0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15.75" customHeight="1">
      <c r="A38" s="16"/>
      <c r="B38" s="16"/>
      <c r="C38" s="16"/>
      <c r="D38" s="16" t="s">
        <v>35</v>
      </c>
      <c r="E38" s="17">
        <v>0.0</v>
      </c>
      <c r="F38" s="20">
        <f>Tabelle1!E37-Hoja1!E38</f>
        <v>0.07803707</v>
      </c>
      <c r="G38" s="16">
        <f t="shared" si="1"/>
        <v>0.07803707</v>
      </c>
      <c r="H38" s="16"/>
      <c r="I38" s="17">
        <v>0.0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15.75" customHeight="1">
      <c r="A39" s="16"/>
      <c r="B39" s="16"/>
      <c r="C39" s="16"/>
      <c r="D39" s="16" t="s">
        <v>36</v>
      </c>
      <c r="E39" s="17">
        <v>0.0</v>
      </c>
      <c r="F39" s="20">
        <f>Tabelle1!E38-Hoja1!E39</f>
        <v>0.07803707</v>
      </c>
      <c r="G39" s="16">
        <f t="shared" si="1"/>
        <v>0.07803707</v>
      </c>
      <c r="H39" s="16"/>
      <c r="I39" s="17">
        <v>0.0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ht="15.75" customHeight="1">
      <c r="A40" s="16"/>
      <c r="B40" s="16"/>
      <c r="C40" s="16"/>
      <c r="D40" s="16" t="s">
        <v>37</v>
      </c>
      <c r="E40" s="17">
        <v>0.0</v>
      </c>
      <c r="F40" s="21">
        <f>Tabelle1!E39-Hoja1!E40</f>
        <v>0.07803707</v>
      </c>
      <c r="G40" s="16">
        <f t="shared" si="1"/>
        <v>0.07803707</v>
      </c>
      <c r="H40" s="16"/>
      <c r="I40" s="17">
        <v>0.260000000009313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ht="15.75" customHeight="1">
      <c r="A41" s="16"/>
      <c r="B41" s="16"/>
      <c r="C41" s="16"/>
      <c r="D41" s="16" t="s">
        <v>38</v>
      </c>
      <c r="E41" s="17">
        <v>7.80787881117886</v>
      </c>
      <c r="F41" s="21">
        <f>Tabelle1!E40-Hoja1!E41</f>
        <v>-7.640417311</v>
      </c>
      <c r="G41" s="16">
        <f t="shared" si="1"/>
        <v>7.640417311</v>
      </c>
      <c r="H41" s="16"/>
      <c r="I41" s="17">
        <v>6.73999999999068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15.75" customHeight="1">
      <c r="A42" s="16"/>
      <c r="B42" s="16"/>
      <c r="C42" s="16"/>
      <c r="D42" s="16" t="s">
        <v>39</v>
      </c>
      <c r="E42" s="17">
        <v>36.8870198972474</v>
      </c>
      <c r="F42" s="21">
        <f>Tabelle1!E41-Hoja1!E42</f>
        <v>-37.2454762</v>
      </c>
      <c r="G42" s="16">
        <f t="shared" si="1"/>
        <v>37.2454762</v>
      </c>
      <c r="H42" s="16"/>
      <c r="I42" s="17">
        <v>34.6400000000139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ht="15.75" customHeight="1">
      <c r="A43" s="16"/>
      <c r="B43" s="16"/>
      <c r="C43" s="16"/>
      <c r="D43" s="16" t="s">
        <v>40</v>
      </c>
      <c r="E43" s="17">
        <v>78.2071311401811</v>
      </c>
      <c r="F43" s="21">
        <f>Tabelle1!E42-Hoja1!E43</f>
        <v>-78.96297991</v>
      </c>
      <c r="G43" s="16">
        <f t="shared" si="1"/>
        <v>78.96297991</v>
      </c>
      <c r="H43" s="16"/>
      <c r="I43" s="17">
        <v>70.7999999999883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15.75" customHeight="1">
      <c r="A44" s="16"/>
      <c r="B44" s="16"/>
      <c r="C44" s="16"/>
      <c r="D44" s="16" t="s">
        <v>41</v>
      </c>
      <c r="E44" s="17">
        <v>107.323492189697</v>
      </c>
      <c r="F44" s="21">
        <f>Tabelle1!E43-Hoja1!E44</f>
        <v>-108.079341</v>
      </c>
      <c r="G44" s="16">
        <f t="shared" si="1"/>
        <v>108.079341</v>
      </c>
      <c r="H44" s="16"/>
      <c r="I44" s="17">
        <v>107.859999999986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ht="15.75" customHeight="1">
      <c r="A45" s="16"/>
      <c r="B45" s="16"/>
      <c r="C45" s="16"/>
      <c r="D45" s="16" t="s">
        <v>42</v>
      </c>
      <c r="E45" s="17">
        <v>121.981797553052</v>
      </c>
      <c r="F45" s="21">
        <f>Tabelle1!E44-Hoja1!E45</f>
        <v>-122.7376463</v>
      </c>
      <c r="G45" s="16">
        <f t="shared" si="1"/>
        <v>122.7376463</v>
      </c>
      <c r="H45" s="16"/>
      <c r="I45" s="17">
        <v>125.280000000027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15.75" customHeight="1">
      <c r="A46" s="16"/>
      <c r="B46" s="16"/>
      <c r="C46" s="16"/>
      <c r="D46" s="16" t="s">
        <v>43</v>
      </c>
      <c r="E46" s="17">
        <v>123.906372119746</v>
      </c>
      <c r="F46" s="21">
        <f>Tabelle1!E45-Hoja1!E46</f>
        <v>-124.6622209</v>
      </c>
      <c r="G46" s="16">
        <f t="shared" si="1"/>
        <v>124.6622209</v>
      </c>
      <c r="H46" s="16"/>
      <c r="I46" s="17">
        <v>127.190000000002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ht="15.75" customHeight="1">
      <c r="A47" s="16"/>
      <c r="B47" s="16"/>
      <c r="C47" s="16"/>
      <c r="D47" s="16" t="s">
        <v>44</v>
      </c>
      <c r="E47" s="17">
        <v>121.990472641471</v>
      </c>
      <c r="F47" s="21">
        <f>Tabelle1!E46-Hoja1!E47</f>
        <v>-122.7463214</v>
      </c>
      <c r="G47" s="16">
        <f t="shared" si="1"/>
        <v>122.7463214</v>
      </c>
      <c r="H47" s="16"/>
      <c r="I47" s="17">
        <v>111.48999999999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15.75" customHeight="1">
      <c r="A48" s="16"/>
      <c r="B48" s="16"/>
      <c r="C48" s="16"/>
      <c r="D48" s="16" t="s">
        <v>45</v>
      </c>
      <c r="E48" s="17">
        <v>116.741912102567</v>
      </c>
      <c r="F48" s="21">
        <f>Tabelle1!E47-Hoja1!E48</f>
        <v>-117.4977609</v>
      </c>
      <c r="G48" s="16">
        <f t="shared" si="1"/>
        <v>117.4977609</v>
      </c>
      <c r="H48" s="16"/>
      <c r="I48" s="17">
        <v>123.609999999986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ht="15.75" customHeight="1">
      <c r="A49" s="16"/>
      <c r="B49" s="16"/>
      <c r="C49" s="16"/>
      <c r="D49" s="16" t="s">
        <v>46</v>
      </c>
      <c r="E49" s="17">
        <v>107.219218678807</v>
      </c>
      <c r="F49" s="21">
        <f>Tabelle1!E48-Hoja1!E49</f>
        <v>-107.9750674</v>
      </c>
      <c r="G49" s="16">
        <f t="shared" si="1"/>
        <v>107.9750674</v>
      </c>
      <c r="H49" s="16"/>
      <c r="I49" s="17">
        <v>116.119999999995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15.75" customHeight="1">
      <c r="A50" s="16"/>
      <c r="B50" s="16"/>
      <c r="C50" s="16"/>
      <c r="D50" s="16" t="s">
        <v>47</v>
      </c>
      <c r="E50" s="17">
        <v>75.0367342581801</v>
      </c>
      <c r="F50" s="21">
        <f>Tabelle1!E49-Hoja1!E50</f>
        <v>-75.70215596</v>
      </c>
      <c r="G50" s="16">
        <f t="shared" si="1"/>
        <v>75.70215596</v>
      </c>
      <c r="H50" s="16"/>
      <c r="I50" s="17">
        <v>95.0400000000372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ht="15.75" customHeight="1">
      <c r="A51" s="16"/>
      <c r="B51" s="16"/>
      <c r="C51" s="16"/>
      <c r="D51" s="16" t="s">
        <v>48</v>
      </c>
      <c r="E51" s="17">
        <v>47.1995388873218</v>
      </c>
      <c r="F51" s="21">
        <f>Tabelle1!E50-Hoja1!E51</f>
        <v>-47.46247456</v>
      </c>
      <c r="G51" s="16">
        <f t="shared" si="1"/>
        <v>47.46247456</v>
      </c>
      <c r="H51" s="16"/>
      <c r="I51" s="17">
        <v>59.9199999999837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15.75" customHeight="1">
      <c r="A52" s="16"/>
      <c r="B52" s="16"/>
      <c r="C52" s="16"/>
      <c r="D52" s="16" t="s">
        <v>49</v>
      </c>
      <c r="E52" s="17">
        <v>19.8371898553129</v>
      </c>
      <c r="F52" s="21">
        <f>Tabelle1!E51-Hoja1!E52</f>
        <v>-19.86295902</v>
      </c>
      <c r="G52" s="16">
        <f t="shared" si="1"/>
        <v>19.86295902</v>
      </c>
      <c r="H52" s="16"/>
      <c r="I52" s="17">
        <v>19.5300000000279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ht="15.75" customHeight="1">
      <c r="A53" s="16"/>
      <c r="B53" s="16"/>
      <c r="C53" s="16"/>
      <c r="D53" s="16" t="s">
        <v>50</v>
      </c>
      <c r="E53" s="17">
        <v>1.98468397450687</v>
      </c>
      <c r="F53" s="21">
        <f>Tabelle1!E52-Hoja1!E53</f>
        <v>-1.844116475</v>
      </c>
      <c r="G53" s="16">
        <f t="shared" si="1"/>
        <v>1.844116475</v>
      </c>
      <c r="H53" s="16"/>
      <c r="I53" s="17">
        <v>1.84999999997671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15.75" customHeight="1">
      <c r="A54" s="16"/>
      <c r="B54" s="16"/>
      <c r="C54" s="16"/>
      <c r="D54" s="16" t="s">
        <v>51</v>
      </c>
      <c r="E54" s="17">
        <v>0.0</v>
      </c>
      <c r="F54" s="21">
        <f>Tabelle1!E53-Hoja1!E54</f>
        <v>0.14902496</v>
      </c>
      <c r="G54" s="16">
        <f t="shared" si="1"/>
        <v>0.14902496</v>
      </c>
      <c r="H54" s="16"/>
      <c r="I54" s="17">
        <v>0.0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ht="15.75" customHeight="1">
      <c r="A55" s="16"/>
      <c r="B55" s="16"/>
      <c r="C55" s="16"/>
      <c r="D55" s="16" t="s">
        <v>52</v>
      </c>
      <c r="E55" s="17">
        <v>0.0</v>
      </c>
      <c r="F55" s="21">
        <f>Tabelle1!E54-Hoja1!E55</f>
        <v>0.14902496</v>
      </c>
      <c r="G55" s="16">
        <f t="shared" si="1"/>
        <v>0.14902496</v>
      </c>
      <c r="H55" s="16"/>
      <c r="I55" s="17">
        <v>0.0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15.75" customHeight="1">
      <c r="A56" s="16"/>
      <c r="B56" s="16"/>
      <c r="C56" s="16"/>
      <c r="D56" s="16" t="s">
        <v>53</v>
      </c>
      <c r="E56" s="17">
        <v>0.0</v>
      </c>
      <c r="F56" s="20">
        <f>Tabelle1!E55-Hoja1!E56</f>
        <v>0.07803707</v>
      </c>
      <c r="G56" s="16">
        <f t="shared" si="1"/>
        <v>0.07803707</v>
      </c>
      <c r="H56" s="16"/>
      <c r="I56" s="17">
        <v>0.0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ht="15.75" customHeight="1">
      <c r="A57" s="16"/>
      <c r="B57" s="16"/>
      <c r="C57" s="16"/>
      <c r="D57" s="16" t="s">
        <v>54</v>
      </c>
      <c r="E57" s="17">
        <v>0.0</v>
      </c>
      <c r="F57" s="21">
        <f>Tabelle1!E56-Hoja1!E57</f>
        <v>0.07803707</v>
      </c>
      <c r="G57" s="16">
        <f t="shared" si="1"/>
        <v>0.07803707</v>
      </c>
      <c r="H57" s="16"/>
      <c r="I57" s="17">
        <v>0.0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ht="15.75" customHeight="1">
      <c r="A58" s="16"/>
      <c r="B58" s="16"/>
      <c r="C58" s="16"/>
      <c r="D58" s="16" t="s">
        <v>55</v>
      </c>
      <c r="E58" s="17">
        <v>0.0</v>
      </c>
      <c r="F58" s="20">
        <f>Tabelle1!E57-Hoja1!E58</f>
        <v>0.07803707</v>
      </c>
      <c r="G58" s="16">
        <f t="shared" si="1"/>
        <v>0.07803707</v>
      </c>
      <c r="H58" s="16"/>
      <c r="I58" s="17">
        <v>0.0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ht="15.75" customHeight="1">
      <c r="A59" s="16"/>
      <c r="B59" s="16"/>
      <c r="C59" s="16"/>
      <c r="D59" s="16" t="s">
        <v>56</v>
      </c>
      <c r="E59" s="17">
        <v>0.0</v>
      </c>
      <c r="F59" s="20">
        <f>Tabelle1!E58-Hoja1!E59</f>
        <v>0.07803707</v>
      </c>
      <c r="G59" s="16">
        <f t="shared" si="1"/>
        <v>0.07803707</v>
      </c>
      <c r="H59" s="16"/>
      <c r="I59" s="17">
        <v>0.0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ht="15.75" customHeight="1">
      <c r="A60" s="16"/>
      <c r="B60" s="16"/>
      <c r="C60" s="16"/>
      <c r="D60" s="16" t="s">
        <v>57</v>
      </c>
      <c r="E60" s="17">
        <v>0.0</v>
      </c>
      <c r="F60" s="20">
        <f>Tabelle1!E59-Hoja1!E60</f>
        <v>0.07803707</v>
      </c>
      <c r="G60" s="16">
        <f t="shared" si="1"/>
        <v>0.07803707</v>
      </c>
      <c r="H60" s="16"/>
      <c r="I60" s="17">
        <v>0.0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ht="15.75" customHeight="1">
      <c r="A61" s="16"/>
      <c r="B61" s="16"/>
      <c r="C61" s="16"/>
      <c r="D61" s="16" t="s">
        <v>58</v>
      </c>
      <c r="E61" s="17">
        <v>0.0</v>
      </c>
      <c r="F61" s="20">
        <f>Tabelle1!E60-Hoja1!E61</f>
        <v>0.07803707</v>
      </c>
      <c r="G61" s="16">
        <f t="shared" si="1"/>
        <v>0.07803707</v>
      </c>
      <c r="H61" s="16"/>
      <c r="I61" s="17">
        <v>0.0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ht="15.75" customHeight="1">
      <c r="A62" s="16"/>
      <c r="B62" s="16"/>
      <c r="C62" s="16"/>
      <c r="D62" s="16" t="s">
        <v>59</v>
      </c>
      <c r="E62" s="17">
        <v>0.0</v>
      </c>
      <c r="F62" s="20">
        <f>Tabelle1!E61-Hoja1!E62</f>
        <v>0.07803707</v>
      </c>
      <c r="G62" s="16">
        <f t="shared" si="1"/>
        <v>0.07803707</v>
      </c>
      <c r="H62" s="16"/>
      <c r="I62" s="17">
        <v>0.0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15.75" customHeight="1">
      <c r="A63" s="16"/>
      <c r="B63" s="16"/>
      <c r="C63" s="16"/>
      <c r="D63" s="16" t="s">
        <v>60</v>
      </c>
      <c r="E63" s="17">
        <v>0.0</v>
      </c>
      <c r="F63" s="20">
        <f>Tabelle1!E62-Hoja1!E63</f>
        <v>0.07803707</v>
      </c>
      <c r="G63" s="16">
        <f t="shared" si="1"/>
        <v>0.07803707</v>
      </c>
      <c r="H63" s="16"/>
      <c r="I63" s="17">
        <v>0.0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ht="15.75" customHeight="1">
      <c r="A64" s="16"/>
      <c r="B64" s="16"/>
      <c r="C64" s="16"/>
      <c r="D64" s="16" t="s">
        <v>61</v>
      </c>
      <c r="E64" s="17">
        <v>0.0</v>
      </c>
      <c r="F64" s="16">
        <f>Tabelle1!E63-Hoja1!E64</f>
        <v>0.07803707</v>
      </c>
      <c r="G64" s="16">
        <f t="shared" si="1"/>
        <v>0.07803707</v>
      </c>
      <c r="H64" s="16"/>
      <c r="I64" s="17">
        <v>0.230000000039581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15.75" customHeight="1">
      <c r="A65" s="16"/>
      <c r="B65" s="16"/>
      <c r="C65" s="16"/>
      <c r="D65" s="16" t="s">
        <v>62</v>
      </c>
      <c r="E65" s="17">
        <v>7.80787881117886</v>
      </c>
      <c r="F65" s="21">
        <f>Tabelle1!E64-Hoja1!E65</f>
        <v>-7.640417311</v>
      </c>
      <c r="G65" s="16">
        <f t="shared" si="1"/>
        <v>7.640417311</v>
      </c>
      <c r="H65" s="16"/>
      <c r="I65" s="17">
        <v>7.28999999997904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ht="15.75" customHeight="1">
      <c r="A66" s="16"/>
      <c r="B66" s="16"/>
      <c r="C66" s="16"/>
      <c r="D66" s="16" t="s">
        <v>63</v>
      </c>
      <c r="E66" s="17">
        <v>36.8784777767132</v>
      </c>
      <c r="F66" s="21">
        <f>Tabelle1!E65-Hoja1!E66</f>
        <v>-37.23693408</v>
      </c>
      <c r="G66" s="16">
        <f t="shared" si="1"/>
        <v>37.23693408</v>
      </c>
      <c r="H66" s="16"/>
      <c r="I66" s="17">
        <v>37.4899999999906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15.75" customHeight="1">
      <c r="A67" s="16"/>
      <c r="B67" s="16"/>
      <c r="C67" s="16"/>
      <c r="D67" s="16" t="s">
        <v>64</v>
      </c>
      <c r="E67" s="17">
        <v>77.8932623230096</v>
      </c>
      <c r="F67" s="21">
        <f>Tabelle1!E66-Hoja1!E67</f>
        <v>-78.64911109</v>
      </c>
      <c r="G67" s="16">
        <f t="shared" si="1"/>
        <v>78.64911109</v>
      </c>
      <c r="H67" s="16"/>
      <c r="I67" s="17">
        <v>80.0599999999976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ht="15.75" customHeight="1">
      <c r="A68" s="16"/>
      <c r="B68" s="16"/>
      <c r="C68" s="16"/>
      <c r="D68" s="16" t="s">
        <v>65</v>
      </c>
      <c r="E68" s="17">
        <v>107.233158457378</v>
      </c>
      <c r="F68" s="21">
        <f>Tabelle1!E67-Hoja1!E68</f>
        <v>-107.9890072</v>
      </c>
      <c r="G68" s="16">
        <f t="shared" si="1"/>
        <v>107.9890072</v>
      </c>
      <c r="H68" s="16"/>
      <c r="I68" s="17">
        <v>113.190000000002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15.75" customHeight="1">
      <c r="A69" s="16"/>
      <c r="B69" s="16"/>
      <c r="C69" s="16"/>
      <c r="D69" s="16" t="s">
        <v>66</v>
      </c>
      <c r="E69" s="17">
        <v>122.542983531058</v>
      </c>
      <c r="F69" s="21">
        <f>Tabelle1!E68-Hoja1!E69</f>
        <v>-123.2988323</v>
      </c>
      <c r="G69" s="16">
        <f t="shared" si="1"/>
        <v>123.2988323</v>
      </c>
      <c r="H69" s="16"/>
      <c r="I69" s="17">
        <v>124.929999999993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ht="15.75" customHeight="1">
      <c r="A70" s="16"/>
      <c r="B70" s="16"/>
      <c r="C70" s="16"/>
      <c r="D70" s="16" t="s">
        <v>67</v>
      </c>
      <c r="E70" s="17">
        <v>124.447748399966</v>
      </c>
      <c r="F70" s="21">
        <f>Tabelle1!E69-Hoja1!E70</f>
        <v>-125.2035972</v>
      </c>
      <c r="G70" s="16">
        <f t="shared" si="1"/>
        <v>125.2035972</v>
      </c>
      <c r="H70" s="16"/>
      <c r="I70" s="17">
        <v>128.600000000034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15.75" customHeight="1">
      <c r="A71" s="16"/>
      <c r="B71" s="16"/>
      <c r="C71" s="16"/>
      <c r="D71" s="16" t="s">
        <v>68</v>
      </c>
      <c r="E71" s="17">
        <v>123.076016254856</v>
      </c>
      <c r="F71" s="21">
        <f>Tabelle1!E70-Hoja1!E71</f>
        <v>-123.831865</v>
      </c>
      <c r="G71" s="16">
        <f t="shared" si="1"/>
        <v>123.831865</v>
      </c>
      <c r="H71" s="16"/>
      <c r="I71" s="17">
        <v>122.260000000009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ht="15.75" customHeight="1">
      <c r="A72" s="16"/>
      <c r="B72" s="16"/>
      <c r="C72" s="16"/>
      <c r="D72" s="16" t="s">
        <v>69</v>
      </c>
      <c r="E72" s="17">
        <v>117.954568669517</v>
      </c>
      <c r="F72" s="21">
        <f>Tabelle1!E71-Hoja1!E72</f>
        <v>-118.7104174</v>
      </c>
      <c r="G72" s="16">
        <f t="shared" si="1"/>
        <v>118.7104174</v>
      </c>
      <c r="H72" s="16"/>
      <c r="I72" s="17">
        <v>114.359999999986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15.75" customHeight="1">
      <c r="A73" s="16"/>
      <c r="B73" s="16"/>
      <c r="C73" s="16"/>
      <c r="D73" s="16" t="s">
        <v>70</v>
      </c>
      <c r="E73" s="17">
        <v>104.885944587257</v>
      </c>
      <c r="F73" s="21">
        <f>Tabelle1!E72-Hoja1!E73</f>
        <v>-105.6417934</v>
      </c>
      <c r="G73" s="16">
        <f t="shared" si="1"/>
        <v>105.6417934</v>
      </c>
      <c r="H73" s="16"/>
      <c r="I73" s="17">
        <v>90.7999999999883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ht="15.75" customHeight="1">
      <c r="A74" s="16"/>
      <c r="B74" s="16"/>
      <c r="C74" s="16"/>
      <c r="D74" s="16" t="s">
        <v>71</v>
      </c>
      <c r="E74" s="17">
        <v>72.4783996315979</v>
      </c>
      <c r="F74" s="21">
        <f>Tabelle1!E73-Hoja1!E74</f>
        <v>-73.14382133</v>
      </c>
      <c r="G74" s="16">
        <f t="shared" si="1"/>
        <v>73.14382133</v>
      </c>
      <c r="H74" s="16"/>
      <c r="I74" s="17">
        <v>77.2299999999813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15.75" customHeight="1">
      <c r="A75" s="16"/>
      <c r="B75" s="16"/>
      <c r="C75" s="16"/>
      <c r="D75" s="16" t="s">
        <v>72</v>
      </c>
      <c r="E75" s="17">
        <v>35.5297452401737</v>
      </c>
      <c r="F75" s="21">
        <f>Tabelle1!E74-Hoja1!E75</f>
        <v>-35.79268091</v>
      </c>
      <c r="G75" s="16">
        <f t="shared" si="1"/>
        <v>35.79268091</v>
      </c>
      <c r="H75" s="16"/>
      <c r="I75" s="17">
        <v>38.0700000000069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ht="15.75" customHeight="1">
      <c r="A76" s="16"/>
      <c r="B76" s="16"/>
      <c r="C76" s="16"/>
      <c r="D76" s="16" t="s">
        <v>73</v>
      </c>
      <c r="E76" s="17">
        <v>15.0027980384493</v>
      </c>
      <c r="F76" s="16">
        <f>Tabelle1!E75-Hoja1!E76</f>
        <v>-15.02856721</v>
      </c>
      <c r="G76" s="16">
        <f t="shared" si="1"/>
        <v>15.02856721</v>
      </c>
      <c r="H76" s="16"/>
      <c r="I76" s="17">
        <v>17.4700000000302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15.75" customHeight="1">
      <c r="A77" s="16"/>
      <c r="B77" s="16"/>
      <c r="C77" s="16"/>
      <c r="D77" s="16" t="s">
        <v>74</v>
      </c>
      <c r="E77" s="17">
        <v>1.98468397450687</v>
      </c>
      <c r="F77" s="16">
        <f>Tabelle1!E76-Hoja1!E77</f>
        <v>-1.844116475</v>
      </c>
      <c r="G77" s="16">
        <f t="shared" si="1"/>
        <v>1.844116475</v>
      </c>
      <c r="H77" s="16"/>
      <c r="I77" s="17">
        <v>3.05999999999767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ht="15.75" customHeight="1">
      <c r="A78" s="16"/>
      <c r="B78" s="16"/>
      <c r="C78" s="16"/>
      <c r="D78" s="16" t="s">
        <v>75</v>
      </c>
      <c r="E78" s="17">
        <v>0.0</v>
      </c>
      <c r="F78" s="16">
        <f>Tabelle1!E77-Hoja1!E78</f>
        <v>0.14902496</v>
      </c>
      <c r="G78" s="16">
        <f t="shared" si="1"/>
        <v>0.14902496</v>
      </c>
      <c r="H78" s="16"/>
      <c r="I78" s="17">
        <v>0.0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15.75" customHeight="1">
      <c r="A79" s="16"/>
      <c r="B79" s="16"/>
      <c r="C79" s="16"/>
      <c r="D79" s="16" t="s">
        <v>76</v>
      </c>
      <c r="E79" s="17">
        <v>0.0</v>
      </c>
      <c r="F79" s="16">
        <f>Tabelle1!E78-Hoja1!E79</f>
        <v>0.14902496</v>
      </c>
      <c r="G79" s="16">
        <f t="shared" si="1"/>
        <v>0.14902496</v>
      </c>
      <c r="H79" s="16"/>
      <c r="I79" s="17">
        <v>0.0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5.75" customHeight="1">
      <c r="A80" s="16"/>
      <c r="B80" s="16"/>
      <c r="C80" s="16"/>
      <c r="D80" s="16" t="s">
        <v>77</v>
      </c>
      <c r="E80" s="17">
        <v>0.0</v>
      </c>
      <c r="F80" s="20">
        <f>Tabelle1!E79-Hoja1!E80</f>
        <v>0.07803707</v>
      </c>
      <c r="G80" s="16">
        <f t="shared" si="1"/>
        <v>0.07803707</v>
      </c>
      <c r="H80" s="16"/>
      <c r="I80" s="17">
        <v>0.0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ht="15.75" customHeight="1">
      <c r="A81" s="16"/>
      <c r="B81" s="16"/>
      <c r="C81" s="16"/>
      <c r="D81" s="16" t="s">
        <v>78</v>
      </c>
      <c r="E81" s="17">
        <v>0.0</v>
      </c>
      <c r="F81" s="16">
        <f>Tabelle1!E80-Hoja1!E81</f>
        <v>0.07803707</v>
      </c>
      <c r="G81" s="16">
        <f t="shared" si="1"/>
        <v>0.07803707</v>
      </c>
      <c r="H81" s="16"/>
      <c r="I81" s="17">
        <v>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ht="15.75" customHeight="1">
      <c r="A82" s="16"/>
      <c r="B82" s="16"/>
      <c r="C82" s="16"/>
      <c r="D82" s="16" t="s">
        <v>79</v>
      </c>
      <c r="E82" s="17">
        <v>0.0</v>
      </c>
      <c r="F82" s="16">
        <f>Tabelle1!E81-Hoja1!E82</f>
        <v>0.07803707</v>
      </c>
      <c r="G82" s="16">
        <f t="shared" si="1"/>
        <v>0.07803707</v>
      </c>
      <c r="H82" s="16"/>
      <c r="I82" s="17">
        <v>0.0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15.75" customHeight="1">
      <c r="A83" s="16"/>
      <c r="B83" s="16"/>
      <c r="C83" s="16"/>
      <c r="D83" s="16" t="s">
        <v>80</v>
      </c>
      <c r="E83" s="17">
        <v>0.0</v>
      </c>
      <c r="F83" s="20">
        <f>Tabelle1!E82-Hoja1!E83</f>
        <v>0.07803707</v>
      </c>
      <c r="G83" s="16">
        <f t="shared" si="1"/>
        <v>0.07803707</v>
      </c>
      <c r="H83" s="16"/>
      <c r="I83" s="17">
        <v>0.0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ht="15.75" customHeight="1">
      <c r="A84" s="16"/>
      <c r="B84" s="16"/>
      <c r="C84" s="16"/>
      <c r="D84" s="16" t="s">
        <v>81</v>
      </c>
      <c r="E84" s="17">
        <v>0.0</v>
      </c>
      <c r="F84" s="20">
        <f>Tabelle1!E83-Hoja1!E84</f>
        <v>0.07803707</v>
      </c>
      <c r="G84" s="16">
        <f t="shared" si="1"/>
        <v>0.07803707</v>
      </c>
      <c r="H84" s="16"/>
      <c r="I84" s="17">
        <v>0.0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15.75" customHeight="1">
      <c r="A85" s="16"/>
      <c r="B85" s="16"/>
      <c r="C85" s="16"/>
      <c r="D85" s="16" t="s">
        <v>82</v>
      </c>
      <c r="E85" s="17">
        <v>0.0</v>
      </c>
      <c r="F85" s="20">
        <f>Tabelle1!E84-Hoja1!E85</f>
        <v>0.07803707</v>
      </c>
      <c r="G85" s="16">
        <f t="shared" si="1"/>
        <v>0.07803707</v>
      </c>
      <c r="H85" s="16"/>
      <c r="I85" s="17">
        <v>0.0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ht="15.75" customHeight="1">
      <c r="A86" s="16"/>
      <c r="B86" s="16"/>
      <c r="C86" s="16"/>
      <c r="D86" s="16" t="s">
        <v>83</v>
      </c>
      <c r="E86" s="17">
        <v>0.0</v>
      </c>
      <c r="F86" s="20">
        <f>Tabelle1!E85-Hoja1!E86</f>
        <v>0.07803707</v>
      </c>
      <c r="G86" s="16">
        <f t="shared" si="1"/>
        <v>0.07803707</v>
      </c>
      <c r="H86" s="16"/>
      <c r="I86" s="17">
        <v>0.0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15.75" customHeight="1">
      <c r="A87" s="16"/>
      <c r="B87" s="16"/>
      <c r="C87" s="16"/>
      <c r="D87" s="16" t="s">
        <v>84</v>
      </c>
      <c r="E87" s="17">
        <v>0.0</v>
      </c>
      <c r="F87" s="20">
        <f>Tabelle1!E86-Hoja1!E87</f>
        <v>0.07803707</v>
      </c>
      <c r="G87" s="16">
        <f t="shared" si="1"/>
        <v>0.07803707</v>
      </c>
      <c r="H87" s="16"/>
      <c r="I87" s="17">
        <v>0.0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ht="15.75" customHeight="1">
      <c r="A88" s="16"/>
      <c r="B88" s="16"/>
      <c r="C88" s="16"/>
      <c r="D88" s="16" t="s">
        <v>85</v>
      </c>
      <c r="E88" s="17">
        <v>0.0</v>
      </c>
      <c r="F88" s="16">
        <f>Tabelle1!E87-Hoja1!E88</f>
        <v>0.07803707</v>
      </c>
      <c r="G88" s="16">
        <f t="shared" si="1"/>
        <v>0.07803707</v>
      </c>
      <c r="H88" s="16"/>
      <c r="I88" s="17">
        <v>0.140000000013969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15.75" customHeight="1">
      <c r="A89" s="16"/>
      <c r="B89" s="16"/>
      <c r="C89" s="16"/>
      <c r="D89" s="16" t="s">
        <v>86</v>
      </c>
      <c r="E89" s="17">
        <v>7.80787881117886</v>
      </c>
      <c r="F89" s="21">
        <f>Tabelle1!E88-Hoja1!E89</f>
        <v>-7.640417311</v>
      </c>
      <c r="G89" s="16">
        <f t="shared" si="1"/>
        <v>7.640417311</v>
      </c>
      <c r="H89" s="16"/>
      <c r="I89" s="17">
        <v>4.60999999998603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ht="15.75" customHeight="1">
      <c r="A90" s="16"/>
      <c r="B90" s="16"/>
      <c r="C90" s="16"/>
      <c r="D90" s="16" t="s">
        <v>87</v>
      </c>
      <c r="E90" s="17">
        <v>37.6477844480996</v>
      </c>
      <c r="F90" s="21">
        <f>Tabelle1!E89-Hoja1!E90</f>
        <v>-38.00624075</v>
      </c>
      <c r="G90" s="16">
        <f t="shared" si="1"/>
        <v>38.00624075</v>
      </c>
      <c r="H90" s="16"/>
      <c r="I90" s="17">
        <v>26.0500000000465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ht="15.75" customHeight="1">
      <c r="A91" s="16"/>
      <c r="B91" s="16"/>
      <c r="C91" s="16"/>
      <c r="D91" s="16" t="s">
        <v>88</v>
      </c>
      <c r="E91" s="17">
        <v>74.6580356926852</v>
      </c>
      <c r="F91" s="21">
        <f>Tabelle1!E90-Hoja1!E91</f>
        <v>-75.41388446</v>
      </c>
      <c r="G91" s="16">
        <f t="shared" si="1"/>
        <v>75.41388446</v>
      </c>
      <c r="H91" s="16"/>
      <c r="I91" s="17">
        <v>84.079999999958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ht="15.75" customHeight="1">
      <c r="A92" s="16"/>
      <c r="B92" s="16"/>
      <c r="C92" s="16"/>
      <c r="D92" s="16" t="s">
        <v>89</v>
      </c>
      <c r="E92" s="17">
        <v>105.294979110795</v>
      </c>
      <c r="F92" s="21">
        <f>Tabelle1!E91-Hoja1!E92</f>
        <v>-106.0508279</v>
      </c>
      <c r="G92" s="16">
        <f t="shared" si="1"/>
        <v>106.0508279</v>
      </c>
      <c r="H92" s="16"/>
      <c r="I92" s="17">
        <v>120.270000000018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ht="15.75" customHeight="1">
      <c r="A93" s="16"/>
      <c r="B93" s="16"/>
      <c r="C93" s="16"/>
      <c r="D93" s="16" t="s">
        <v>90</v>
      </c>
      <c r="E93" s="17">
        <v>123.852446544674</v>
      </c>
      <c r="F93" s="21">
        <f>Tabelle1!E92-Hoja1!E93</f>
        <v>-124.6082953</v>
      </c>
      <c r="G93" s="16">
        <f t="shared" si="1"/>
        <v>124.6082953</v>
      </c>
      <c r="H93" s="16"/>
      <c r="I93" s="17">
        <v>132.909999999974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ht="15.75" customHeight="1">
      <c r="A94" s="16"/>
      <c r="B94" s="16"/>
      <c r="C94" s="16"/>
      <c r="D94" s="16" t="s">
        <v>91</v>
      </c>
      <c r="E94" s="17">
        <v>123.886228378169</v>
      </c>
      <c r="F94" s="21">
        <f>Tabelle1!E93-Hoja1!E94</f>
        <v>-124.6420771</v>
      </c>
      <c r="G94" s="16">
        <f t="shared" si="1"/>
        <v>124.6420771</v>
      </c>
      <c r="H94" s="16"/>
      <c r="I94" s="17">
        <v>122.550000000046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ht="15.75" customHeight="1">
      <c r="A95" s="16"/>
      <c r="B95" s="16"/>
      <c r="C95" s="16"/>
      <c r="D95" s="16" t="s">
        <v>92</v>
      </c>
      <c r="E95" s="17">
        <v>119.794606388291</v>
      </c>
      <c r="F95" s="21">
        <f>Tabelle1!E94-Hoja1!E95</f>
        <v>-120.5504552</v>
      </c>
      <c r="G95" s="16">
        <f t="shared" si="1"/>
        <v>120.5504552</v>
      </c>
      <c r="H95" s="16"/>
      <c r="I95" s="17">
        <v>85.0999999999767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ht="15.75" customHeight="1">
      <c r="A96" s="16"/>
      <c r="B96" s="16"/>
      <c r="C96" s="16"/>
      <c r="D96" s="16" t="s">
        <v>93</v>
      </c>
      <c r="E96" s="17">
        <v>79.4520203403036</v>
      </c>
      <c r="F96" s="21">
        <f>Tabelle1!E95-Hoja1!E96</f>
        <v>-80.20786911</v>
      </c>
      <c r="G96" s="16">
        <f t="shared" si="1"/>
        <v>80.20786911</v>
      </c>
      <c r="H96" s="16"/>
      <c r="I96" s="17">
        <v>22.4899999999906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ht="15.75" customHeight="1">
      <c r="A97" s="16"/>
      <c r="B97" s="16"/>
      <c r="C97" s="16"/>
      <c r="D97" s="16" t="s">
        <v>94</v>
      </c>
      <c r="E97" s="17">
        <v>68.2246261917097</v>
      </c>
      <c r="F97" s="21">
        <f>Tabelle1!E96-Hoja1!E97</f>
        <v>-68.98047496</v>
      </c>
      <c r="G97" s="16">
        <f t="shared" si="1"/>
        <v>68.98047496</v>
      </c>
      <c r="H97" s="16"/>
      <c r="I97" s="17">
        <v>17.8300000000162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ht="15.75" customHeight="1">
      <c r="A98" s="16"/>
      <c r="B98" s="16"/>
      <c r="C98" s="16"/>
      <c r="D98" s="16" t="s">
        <v>95</v>
      </c>
      <c r="E98" s="17">
        <v>78.8333187534549</v>
      </c>
      <c r="F98" s="21">
        <f>Tabelle1!E97-Hoja1!E98</f>
        <v>-79.49874045</v>
      </c>
      <c r="G98" s="16">
        <f t="shared" si="1"/>
        <v>79.49874045</v>
      </c>
      <c r="H98" s="16"/>
      <c r="I98" s="17">
        <v>90.719999999972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ht="15.75" customHeight="1">
      <c r="A99" s="16"/>
      <c r="B99" s="16"/>
      <c r="C99" s="16"/>
      <c r="D99" s="16" t="s">
        <v>96</v>
      </c>
      <c r="E99" s="17">
        <v>49.5551006069553</v>
      </c>
      <c r="F99" s="21">
        <f>Tabelle1!E98-Hoja1!E99</f>
        <v>-49.81803628</v>
      </c>
      <c r="G99" s="16">
        <f t="shared" si="1"/>
        <v>49.81803628</v>
      </c>
      <c r="H99" s="16"/>
      <c r="I99" s="17">
        <v>60.4800000000395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ht="15.75" customHeight="1">
      <c r="A100" s="16"/>
      <c r="B100" s="16"/>
      <c r="C100" s="16"/>
      <c r="D100" s="16" t="s">
        <v>97</v>
      </c>
      <c r="E100" s="17">
        <v>20.4950959405213</v>
      </c>
      <c r="F100" s="16">
        <f>Tabelle1!E99-Hoja1!E100</f>
        <v>-20.52086511</v>
      </c>
      <c r="G100" s="16">
        <f t="shared" si="1"/>
        <v>20.52086511</v>
      </c>
      <c r="H100" s="16"/>
      <c r="I100" s="17">
        <v>16.5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ht="15.75" customHeight="1">
      <c r="A101" s="16"/>
      <c r="B101" s="16"/>
      <c r="C101" s="16"/>
      <c r="D101" s="16" t="s">
        <v>98</v>
      </c>
      <c r="E101" s="17">
        <v>1.98468397450687</v>
      </c>
      <c r="F101" s="16">
        <f>Tabelle1!E100-Hoja1!E101</f>
        <v>-1.844116475</v>
      </c>
      <c r="G101" s="16">
        <f t="shared" si="1"/>
        <v>1.844116475</v>
      </c>
      <c r="H101" s="16"/>
      <c r="I101" s="17">
        <v>2.1699999999837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ht="15.75" customHeight="1">
      <c r="A102" s="16"/>
      <c r="B102" s="16"/>
      <c r="C102" s="16"/>
      <c r="D102" s="16" t="s">
        <v>99</v>
      </c>
      <c r="E102" s="17">
        <v>0.0</v>
      </c>
      <c r="F102" s="16">
        <f>Tabelle1!E101-Hoja1!E102</f>
        <v>0.14902496</v>
      </c>
      <c r="G102" s="16">
        <f t="shared" si="1"/>
        <v>0.14902496</v>
      </c>
      <c r="H102" s="16"/>
      <c r="I102" s="17">
        <v>0.0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ht="15.75" customHeight="1">
      <c r="A103" s="16"/>
      <c r="B103" s="16"/>
      <c r="C103" s="16"/>
      <c r="D103" s="16" t="s">
        <v>100</v>
      </c>
      <c r="E103" s="17">
        <v>0.0</v>
      </c>
      <c r="F103" s="16">
        <f>Tabelle1!E102-Hoja1!E103</f>
        <v>0.14902496</v>
      </c>
      <c r="G103" s="16">
        <f t="shared" si="1"/>
        <v>0.14902496</v>
      </c>
      <c r="H103" s="16"/>
      <c r="I103" s="17">
        <v>0.0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ht="15.75" customHeight="1">
      <c r="A104" s="16"/>
      <c r="B104" s="16"/>
      <c r="C104" s="16"/>
      <c r="D104" s="16" t="s">
        <v>101</v>
      </c>
      <c r="E104" s="17">
        <v>0.0</v>
      </c>
      <c r="F104" s="20">
        <f>Tabelle1!E103-Hoja1!E104</f>
        <v>0.07803707</v>
      </c>
      <c r="G104" s="16">
        <f t="shared" si="1"/>
        <v>0.07803707</v>
      </c>
      <c r="H104" s="16"/>
      <c r="I104" s="17">
        <v>0.0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ht="15.75" customHeight="1">
      <c r="A105" s="16"/>
      <c r="B105" s="16"/>
      <c r="C105" s="16"/>
      <c r="D105" s="16" t="s">
        <v>102</v>
      </c>
      <c r="E105" s="17">
        <v>0.0</v>
      </c>
      <c r="F105" s="16">
        <f>Tabelle1!E104-Hoja1!E105</f>
        <v>0.07803707</v>
      </c>
      <c r="G105" s="16">
        <f t="shared" si="1"/>
        <v>0.07803707</v>
      </c>
      <c r="H105" s="16"/>
      <c r="I105" s="17">
        <v>0.0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ht="15.75" customHeight="1">
      <c r="A106" s="16"/>
      <c r="B106" s="16"/>
      <c r="C106" s="16"/>
      <c r="D106" s="16" t="s">
        <v>103</v>
      </c>
      <c r="E106" s="17">
        <v>0.0</v>
      </c>
      <c r="F106" s="16">
        <f>Tabelle1!E105-Hoja1!E106</f>
        <v>0.07803707</v>
      </c>
      <c r="G106" s="16">
        <f t="shared" si="1"/>
        <v>0.07803707</v>
      </c>
      <c r="H106" s="16"/>
      <c r="I106" s="17">
        <v>0.0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ht="15.75" customHeight="1">
      <c r="A107" s="16"/>
      <c r="B107" s="16"/>
      <c r="C107" s="16"/>
      <c r="D107" s="16" t="s">
        <v>104</v>
      </c>
      <c r="E107" s="17">
        <v>0.0</v>
      </c>
      <c r="F107" s="20">
        <f>Tabelle1!E106-Hoja1!E107</f>
        <v>0.07803707</v>
      </c>
      <c r="G107" s="16">
        <f t="shared" si="1"/>
        <v>0.07803707</v>
      </c>
      <c r="H107" s="16"/>
      <c r="I107" s="17">
        <v>0.0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ht="15.75" customHeight="1">
      <c r="A108" s="16"/>
      <c r="B108" s="16"/>
      <c r="C108" s="16"/>
      <c r="D108" s="16" t="s">
        <v>105</v>
      </c>
      <c r="E108" s="17">
        <v>0.0</v>
      </c>
      <c r="F108" s="20">
        <f>Tabelle1!E107-Hoja1!E108</f>
        <v>0.07803707</v>
      </c>
      <c r="G108" s="16">
        <f t="shared" si="1"/>
        <v>0.07803707</v>
      </c>
      <c r="H108" s="16"/>
      <c r="I108" s="17">
        <v>0.0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ht="15.75" customHeight="1">
      <c r="A109" s="16"/>
      <c r="B109" s="16"/>
      <c r="C109" s="16"/>
      <c r="D109" s="16" t="s">
        <v>106</v>
      </c>
      <c r="E109" s="17">
        <v>0.0</v>
      </c>
      <c r="F109" s="20">
        <f>Tabelle1!E108-Hoja1!E109</f>
        <v>0.07803707</v>
      </c>
      <c r="G109" s="16">
        <f t="shared" si="1"/>
        <v>0.07803707</v>
      </c>
      <c r="H109" s="16"/>
      <c r="I109" s="17">
        <v>0.0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ht="15.75" customHeight="1">
      <c r="A110" s="16"/>
      <c r="B110" s="16"/>
      <c r="C110" s="16"/>
      <c r="D110" s="16" t="s">
        <v>107</v>
      </c>
      <c r="E110" s="17">
        <v>0.0</v>
      </c>
      <c r="F110" s="20">
        <f>Tabelle1!E109-Hoja1!E110</f>
        <v>0.07803707</v>
      </c>
      <c r="G110" s="16">
        <f t="shared" si="1"/>
        <v>0.07803707</v>
      </c>
      <c r="H110" s="16"/>
      <c r="I110" s="17">
        <v>0.0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ht="15.75" customHeight="1">
      <c r="A111" s="16"/>
      <c r="B111" s="16"/>
      <c r="C111" s="16"/>
      <c r="D111" s="16" t="s">
        <v>108</v>
      </c>
      <c r="E111" s="17">
        <v>0.0</v>
      </c>
      <c r="F111" s="20">
        <f>Tabelle1!E110-Hoja1!E111</f>
        <v>0.07803707</v>
      </c>
      <c r="G111" s="16">
        <f t="shared" si="1"/>
        <v>0.07803707</v>
      </c>
      <c r="H111" s="16"/>
      <c r="I111" s="17">
        <v>0.0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ht="15.75" customHeight="1">
      <c r="A112" s="16"/>
      <c r="B112" s="16"/>
      <c r="C112" s="16"/>
      <c r="D112" s="16" t="s">
        <v>109</v>
      </c>
      <c r="E112" s="17">
        <v>0.0</v>
      </c>
      <c r="F112" s="16">
        <f>Tabelle1!E111-Hoja1!E112</f>
        <v>0.07803707</v>
      </c>
      <c r="G112" s="16">
        <f t="shared" si="1"/>
        <v>0.07803707</v>
      </c>
      <c r="H112" s="16"/>
      <c r="I112" s="17">
        <v>0.46999999997206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ht="15.75" customHeight="1">
      <c r="A113" s="16"/>
      <c r="B113" s="16"/>
      <c r="C113" s="16"/>
      <c r="D113" s="16" t="s">
        <v>110</v>
      </c>
      <c r="E113" s="17">
        <v>6.50941727742251</v>
      </c>
      <c r="F113" s="21">
        <f>Tabelle1!E112-Hoja1!E113</f>
        <v>-6.341955777</v>
      </c>
      <c r="G113" s="16">
        <f t="shared" si="1"/>
        <v>6.341955777</v>
      </c>
      <c r="H113" s="16"/>
      <c r="I113" s="17">
        <v>8.29000000003725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ht="15.75" customHeight="1">
      <c r="A114" s="16"/>
      <c r="B114" s="16"/>
      <c r="C114" s="16"/>
      <c r="D114" s="16" t="s">
        <v>111</v>
      </c>
      <c r="E114" s="17">
        <v>30.7683758982866</v>
      </c>
      <c r="F114" s="21">
        <f>Tabelle1!E113-Hoja1!E114</f>
        <v>-31.1268322</v>
      </c>
      <c r="G114" s="16">
        <f t="shared" si="1"/>
        <v>31.1268322</v>
      </c>
      <c r="H114" s="16"/>
      <c r="I114" s="17">
        <v>34.6199999999953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ht="15.75" customHeight="1">
      <c r="A115" s="16"/>
      <c r="B115" s="16"/>
      <c r="C115" s="16"/>
      <c r="D115" s="16" t="s">
        <v>112</v>
      </c>
      <c r="E115" s="17">
        <v>74.2466939704279</v>
      </c>
      <c r="F115" s="21">
        <f>Tabelle1!E114-Hoja1!E115</f>
        <v>-75.00254274</v>
      </c>
      <c r="G115" s="16">
        <f t="shared" si="1"/>
        <v>75.00254274</v>
      </c>
      <c r="H115" s="16"/>
      <c r="I115" s="17">
        <v>70.7399999999906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ht="15.75" customHeight="1">
      <c r="A116" s="16"/>
      <c r="B116" s="16"/>
      <c r="C116" s="16"/>
      <c r="D116" s="16" t="s">
        <v>113</v>
      </c>
      <c r="E116" s="17">
        <v>104.07218142257</v>
      </c>
      <c r="F116" s="21">
        <f>Tabelle1!E115-Hoja1!E116</f>
        <v>-104.8280302</v>
      </c>
      <c r="G116" s="16">
        <f t="shared" si="1"/>
        <v>104.8280302</v>
      </c>
      <c r="H116" s="16"/>
      <c r="I116" s="17">
        <v>114.580000000016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ht="15.75" customHeight="1">
      <c r="A117" s="16"/>
      <c r="B117" s="16"/>
      <c r="C117" s="16"/>
      <c r="D117" s="16" t="s">
        <v>114</v>
      </c>
      <c r="E117" s="17">
        <v>122.471503478325</v>
      </c>
      <c r="F117" s="21">
        <f>Tabelle1!E116-Hoja1!E117</f>
        <v>-123.2273522</v>
      </c>
      <c r="G117" s="16">
        <f t="shared" si="1"/>
        <v>123.2273522</v>
      </c>
      <c r="H117" s="16"/>
      <c r="I117" s="17">
        <v>125.449999999953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ht="15.75" customHeight="1">
      <c r="A118" s="16"/>
      <c r="B118" s="16"/>
      <c r="C118" s="16"/>
      <c r="D118" s="16" t="s">
        <v>115</v>
      </c>
      <c r="E118" s="17">
        <v>123.920650815871</v>
      </c>
      <c r="F118" s="21">
        <f>Tabelle1!E117-Hoja1!E118</f>
        <v>-124.6764996</v>
      </c>
      <c r="G118" s="16">
        <f t="shared" si="1"/>
        <v>124.6764996</v>
      </c>
      <c r="H118" s="16"/>
      <c r="I118" s="17">
        <v>111.780000000027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ht="15.75" customHeight="1">
      <c r="A119" s="16"/>
      <c r="B119" s="16"/>
      <c r="C119" s="16"/>
      <c r="D119" s="16" t="s">
        <v>116</v>
      </c>
      <c r="E119" s="17">
        <v>121.98375392039</v>
      </c>
      <c r="F119" s="21">
        <f>Tabelle1!E118-Hoja1!E119</f>
        <v>-122.7396027</v>
      </c>
      <c r="G119" s="16">
        <f t="shared" si="1"/>
        <v>122.7396027</v>
      </c>
      <c r="H119" s="16"/>
      <c r="I119" s="17">
        <v>75.0499999999883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ht="15.75" customHeight="1">
      <c r="A120" s="16"/>
      <c r="B120" s="16"/>
      <c r="C120" s="16"/>
      <c r="D120" s="16" t="s">
        <v>117</v>
      </c>
      <c r="E120" s="17">
        <v>116.52165770544</v>
      </c>
      <c r="F120" s="21">
        <f>Tabelle1!E119-Hoja1!E120</f>
        <v>-117.2775065</v>
      </c>
      <c r="G120" s="16">
        <f t="shared" si="1"/>
        <v>117.2775065</v>
      </c>
      <c r="H120" s="16"/>
      <c r="I120" s="17">
        <v>109.510000000009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ht="15.75" customHeight="1">
      <c r="A121" s="16"/>
      <c r="B121" s="16"/>
      <c r="C121" s="16"/>
      <c r="D121" s="16" t="s">
        <v>118</v>
      </c>
      <c r="E121" s="17">
        <v>79.4034364537146</v>
      </c>
      <c r="F121" s="21">
        <f>Tabelle1!E120-Hoja1!E121</f>
        <v>-80.15928522</v>
      </c>
      <c r="G121" s="16">
        <f t="shared" si="1"/>
        <v>80.15928522</v>
      </c>
      <c r="H121" s="16"/>
      <c r="I121" s="17">
        <v>92.2600000000093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ht="15.75" customHeight="1">
      <c r="A122" s="16"/>
      <c r="B122" s="16"/>
      <c r="C122" s="16"/>
      <c r="D122" s="16" t="s">
        <v>119</v>
      </c>
      <c r="E122" s="17">
        <v>64.044178324714</v>
      </c>
      <c r="F122" s="21">
        <f>Tabelle1!E121-Hoja1!E122</f>
        <v>-64.70960002</v>
      </c>
      <c r="G122" s="16">
        <f t="shared" si="1"/>
        <v>64.70960002</v>
      </c>
      <c r="H122" s="16"/>
      <c r="I122" s="17">
        <v>74.539999999979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ht="15.75" customHeight="1">
      <c r="A123" s="16"/>
      <c r="B123" s="16"/>
      <c r="C123" s="16"/>
      <c r="D123" s="16" t="s">
        <v>120</v>
      </c>
      <c r="E123" s="17">
        <v>19.9916868277108</v>
      </c>
      <c r="F123" s="16">
        <f>Tabelle1!E122-Hoja1!E123</f>
        <v>-20.2546225</v>
      </c>
      <c r="G123" s="16">
        <f t="shared" si="1"/>
        <v>20.2546225</v>
      </c>
      <c r="H123" s="16"/>
      <c r="I123" s="17">
        <v>35.2399999999906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ht="15.75" customHeight="1">
      <c r="A124" s="16"/>
      <c r="B124" s="16"/>
      <c r="C124" s="16"/>
      <c r="D124" s="16" t="s">
        <v>121</v>
      </c>
      <c r="E124" s="17">
        <v>7.89706807436006</v>
      </c>
      <c r="F124" s="16">
        <f>Tabelle1!E123-Hoja1!E124</f>
        <v>-7.922837243</v>
      </c>
      <c r="G124" s="16">
        <f t="shared" si="1"/>
        <v>7.922837243</v>
      </c>
      <c r="H124" s="16"/>
      <c r="I124" s="17">
        <v>15.3800000000046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ht="15.75" customHeight="1">
      <c r="A125" s="16"/>
      <c r="B125" s="16"/>
      <c r="C125" s="16"/>
      <c r="D125" s="16" t="s">
        <v>122</v>
      </c>
      <c r="E125" s="17">
        <v>1.23695410268465</v>
      </c>
      <c r="F125" s="16">
        <f>Tabelle1!E124-Hoja1!E125</f>
        <v>-1.096386603</v>
      </c>
      <c r="G125" s="16">
        <f t="shared" si="1"/>
        <v>1.096386603</v>
      </c>
      <c r="H125" s="16"/>
      <c r="I125" s="17">
        <v>1.64000000001396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ht="15.75" customHeight="1">
      <c r="A126" s="16"/>
      <c r="B126" s="16"/>
      <c r="C126" s="16"/>
      <c r="D126" s="16" t="s">
        <v>123</v>
      </c>
      <c r="E126" s="17">
        <v>0.0</v>
      </c>
      <c r="F126" s="16">
        <f>Tabelle1!E125-Hoja1!E126</f>
        <v>0.14902496</v>
      </c>
      <c r="G126" s="16">
        <f t="shared" si="1"/>
        <v>0.14902496</v>
      </c>
      <c r="H126" s="16"/>
      <c r="I126" s="17">
        <v>0.0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ht="15.75" customHeight="1">
      <c r="A127" s="16"/>
      <c r="B127" s="16"/>
      <c r="C127" s="16"/>
      <c r="D127" s="16" t="s">
        <v>124</v>
      </c>
      <c r="E127" s="17">
        <v>0.0</v>
      </c>
      <c r="F127" s="16">
        <f>Tabelle1!E126-Hoja1!E127</f>
        <v>0.14902496</v>
      </c>
      <c r="G127" s="16">
        <f t="shared" si="1"/>
        <v>0.14902496</v>
      </c>
      <c r="H127" s="16"/>
      <c r="I127" s="17">
        <v>0.0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ht="15.75" customHeight="1">
      <c r="A128" s="16"/>
      <c r="B128" s="16"/>
      <c r="C128" s="16"/>
      <c r="D128" s="16" t="s">
        <v>125</v>
      </c>
      <c r="E128" s="17">
        <v>0.0</v>
      </c>
      <c r="F128" s="16">
        <f>Tabelle1!E127-Hoja1!E128</f>
        <v>0.08427962</v>
      </c>
      <c r="G128" s="16">
        <f t="shared" si="1"/>
        <v>0.08427962</v>
      </c>
      <c r="H128" s="16"/>
      <c r="I128" s="17">
        <v>0.0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ht="15.75" customHeight="1">
      <c r="A129" s="16"/>
      <c r="B129" s="16"/>
      <c r="C129" s="16"/>
      <c r="D129" s="16" t="s">
        <v>126</v>
      </c>
      <c r="E129" s="17">
        <v>0.0</v>
      </c>
      <c r="F129" s="16">
        <f>Tabelle1!E128-Hoja1!E129</f>
        <v>0.08427962</v>
      </c>
      <c r="G129" s="16">
        <f t="shared" si="1"/>
        <v>0.08427962</v>
      </c>
      <c r="H129" s="16"/>
      <c r="I129" s="17">
        <v>0.0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ht="15.75" customHeight="1">
      <c r="A130" s="16"/>
      <c r="B130" s="16"/>
      <c r="C130" s="16"/>
      <c r="D130" s="16" t="s">
        <v>127</v>
      </c>
      <c r="E130" s="17">
        <v>0.0</v>
      </c>
      <c r="F130" s="20">
        <f>Tabelle1!E129-Hoja1!E130</f>
        <v>0.08427962</v>
      </c>
      <c r="G130" s="16">
        <f t="shared" si="1"/>
        <v>0.08427962</v>
      </c>
      <c r="H130" s="16"/>
      <c r="I130" s="17">
        <v>0.0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ht="15.75" customHeight="1">
      <c r="A131" s="16"/>
      <c r="B131" s="16"/>
      <c r="C131" s="16"/>
      <c r="D131" s="16" t="s">
        <v>128</v>
      </c>
      <c r="E131" s="17">
        <v>0.0</v>
      </c>
      <c r="F131" s="20">
        <f>Tabelle1!E130-Hoja1!E131</f>
        <v>0.08427962</v>
      </c>
      <c r="G131" s="16">
        <f t="shared" si="1"/>
        <v>0.08427962</v>
      </c>
      <c r="H131" s="16"/>
      <c r="I131" s="17">
        <v>0.0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ht="15.75" customHeight="1">
      <c r="A132" s="16"/>
      <c r="B132" s="16"/>
      <c r="C132" s="16"/>
      <c r="D132" s="16" t="s">
        <v>129</v>
      </c>
      <c r="E132" s="17">
        <v>0.0</v>
      </c>
      <c r="F132" s="20">
        <f>Tabelle1!E131-Hoja1!E132</f>
        <v>0.08427962</v>
      </c>
      <c r="G132" s="16">
        <f t="shared" si="1"/>
        <v>0.08427962</v>
      </c>
      <c r="H132" s="16"/>
      <c r="I132" s="17">
        <v>0.0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ht="15.75" customHeight="1">
      <c r="A133" s="16"/>
      <c r="B133" s="16"/>
      <c r="C133" s="16"/>
      <c r="D133" s="16" t="s">
        <v>130</v>
      </c>
      <c r="E133" s="17">
        <v>0.0</v>
      </c>
      <c r="F133" s="20">
        <f>Tabelle1!E132-Hoja1!E133</f>
        <v>0.08427962</v>
      </c>
      <c r="G133" s="16">
        <f t="shared" si="1"/>
        <v>0.08427962</v>
      </c>
      <c r="H133" s="16"/>
      <c r="I133" s="17">
        <v>0.0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ht="15.75" customHeight="1">
      <c r="A134" s="16"/>
      <c r="B134" s="16"/>
      <c r="C134" s="16"/>
      <c r="D134" s="16" t="s">
        <v>131</v>
      </c>
      <c r="E134" s="17">
        <v>0.0</v>
      </c>
      <c r="F134" s="20">
        <f>Tabelle1!E133-Hoja1!E134</f>
        <v>0.08427962</v>
      </c>
      <c r="G134" s="16">
        <f t="shared" si="1"/>
        <v>0.08427962</v>
      </c>
      <c r="H134" s="16"/>
      <c r="I134" s="17">
        <v>0.0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ht="15.75" customHeight="1">
      <c r="A135" s="16"/>
      <c r="B135" s="16"/>
      <c r="C135" s="16"/>
      <c r="D135" s="16" t="s">
        <v>132</v>
      </c>
      <c r="E135" s="17">
        <v>0.0</v>
      </c>
      <c r="F135" s="20">
        <f>Tabelle1!E134-Hoja1!E135</f>
        <v>0.08427962</v>
      </c>
      <c r="G135" s="16">
        <f t="shared" si="1"/>
        <v>0.08427962</v>
      </c>
      <c r="H135" s="16"/>
      <c r="I135" s="17">
        <v>0.0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ht="15.75" customHeight="1">
      <c r="A136" s="16"/>
      <c r="B136" s="16"/>
      <c r="C136" s="16"/>
      <c r="D136" s="16" t="s">
        <v>133</v>
      </c>
      <c r="E136" s="17">
        <v>0.0</v>
      </c>
      <c r="F136" s="21">
        <f>Tabelle1!E135-Hoja1!E136</f>
        <v>0.08427962</v>
      </c>
      <c r="G136" s="16">
        <f t="shared" si="1"/>
        <v>0.08427962</v>
      </c>
      <c r="H136" s="16"/>
      <c r="I136" s="17">
        <v>0.200000000011641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ht="15.75" customHeight="1">
      <c r="A137" s="16"/>
      <c r="B137" s="16"/>
      <c r="C137" s="16"/>
      <c r="D137" s="16" t="s">
        <v>134</v>
      </c>
      <c r="E137" s="17">
        <v>6.95599935451547</v>
      </c>
      <c r="F137" s="21">
        <f>Tabelle1!E136-Hoja1!E137</f>
        <v>-6.782295295</v>
      </c>
      <c r="G137" s="16">
        <f t="shared" si="1"/>
        <v>6.782295295</v>
      </c>
      <c r="H137" s="16"/>
      <c r="I137" s="17">
        <v>6.36999999999534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ht="15.75" customHeight="1">
      <c r="A138" s="16"/>
      <c r="B138" s="16"/>
      <c r="C138" s="16"/>
      <c r="D138" s="16" t="s">
        <v>135</v>
      </c>
      <c r="E138" s="17">
        <v>29.7321132653958</v>
      </c>
      <c r="F138" s="21">
        <f>Tabelle1!E137-Hoja1!E138</f>
        <v>-30.03268561</v>
      </c>
      <c r="G138" s="16">
        <f t="shared" si="1"/>
        <v>30.03268561</v>
      </c>
      <c r="H138" s="16"/>
      <c r="I138" s="17">
        <v>20.8400000000256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ht="15.75" customHeight="1">
      <c r="A139" s="16"/>
      <c r="B139" s="16"/>
      <c r="C139" s="16"/>
      <c r="D139" s="16" t="s">
        <v>136</v>
      </c>
      <c r="E139" s="17">
        <v>66.2449896183395</v>
      </c>
      <c r="F139" s="21">
        <f>Tabelle1!E138-Hoja1!E139</f>
        <v>-66.93016482</v>
      </c>
      <c r="G139" s="16">
        <f t="shared" si="1"/>
        <v>66.93016482</v>
      </c>
      <c r="H139" s="16"/>
      <c r="I139" s="17">
        <v>87.6699999999837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ht="15.75" customHeight="1">
      <c r="A140" s="16"/>
      <c r="B140" s="16"/>
      <c r="C140" s="16"/>
      <c r="D140" s="16" t="s">
        <v>137</v>
      </c>
      <c r="E140" s="17">
        <v>90.1288651357853</v>
      </c>
      <c r="F140" s="21">
        <f>Tabelle1!E139-Hoja1!E140</f>
        <v>-90.81404034</v>
      </c>
      <c r="G140" s="16">
        <f t="shared" si="1"/>
        <v>90.81404034</v>
      </c>
      <c r="H140" s="16"/>
      <c r="I140" s="17">
        <v>113.510000000009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ht="15.75" customHeight="1">
      <c r="A141" s="16"/>
      <c r="B141" s="16"/>
      <c r="C141" s="16"/>
      <c r="D141" s="16" t="s">
        <v>138</v>
      </c>
      <c r="E141" s="17">
        <v>111.865404577626</v>
      </c>
      <c r="F141" s="21">
        <f>Tabelle1!E140-Hoja1!E141</f>
        <v>-112.5505798</v>
      </c>
      <c r="G141" s="16">
        <f t="shared" si="1"/>
        <v>112.5505798</v>
      </c>
      <c r="H141" s="16"/>
      <c r="I141" s="17">
        <v>126.320000000006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ht="15.75" customHeight="1">
      <c r="A142" s="16"/>
      <c r="B142" s="16"/>
      <c r="C142" s="16"/>
      <c r="D142" s="16" t="s">
        <v>139</v>
      </c>
      <c r="E142" s="17">
        <v>119.23141142504</v>
      </c>
      <c r="F142" s="21">
        <f>Tabelle1!E141-Hoja1!E142</f>
        <v>-119.9165866</v>
      </c>
      <c r="G142" s="16">
        <f t="shared" si="1"/>
        <v>119.9165866</v>
      </c>
      <c r="H142" s="16"/>
      <c r="I142" s="17">
        <v>121.979999999981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ht="15.75" customHeight="1">
      <c r="A143" s="16"/>
      <c r="B143" s="16"/>
      <c r="C143" s="16"/>
      <c r="D143" s="16" t="s">
        <v>140</v>
      </c>
      <c r="E143" s="17">
        <v>117.993053434035</v>
      </c>
      <c r="F143" s="21">
        <f>Tabelle1!E142-Hoja1!E143</f>
        <v>-118.6782286</v>
      </c>
      <c r="G143" s="16">
        <f t="shared" si="1"/>
        <v>118.6782286</v>
      </c>
      <c r="H143" s="16"/>
      <c r="I143" s="17">
        <v>50.3300000000163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ht="15.75" customHeight="1">
      <c r="A144" s="16"/>
      <c r="B144" s="16"/>
      <c r="C144" s="16"/>
      <c r="D144" s="16" t="s">
        <v>141</v>
      </c>
      <c r="E144" s="17">
        <v>118.633017727266</v>
      </c>
      <c r="F144" s="21">
        <f>Tabelle1!E143-Hoja1!E144</f>
        <v>-119.3181929</v>
      </c>
      <c r="G144" s="16">
        <f t="shared" si="1"/>
        <v>119.3181929</v>
      </c>
      <c r="H144" s="16"/>
      <c r="I144" s="17">
        <v>78.0499999999883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ht="15.75" customHeight="1">
      <c r="A145" s="16"/>
      <c r="B145" s="16"/>
      <c r="C145" s="16"/>
      <c r="D145" s="16" t="s">
        <v>142</v>
      </c>
      <c r="E145" s="17">
        <v>105.669138150684</v>
      </c>
      <c r="F145" s="21">
        <f>Tabelle1!E144-Hoja1!E145</f>
        <v>-106.3543134</v>
      </c>
      <c r="G145" s="16">
        <f t="shared" si="1"/>
        <v>106.3543134</v>
      </c>
      <c r="H145" s="16"/>
      <c r="I145" s="17">
        <v>34.2100000000209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ht="15.75" customHeight="1">
      <c r="A146" s="16"/>
      <c r="B146" s="16"/>
      <c r="C146" s="16"/>
      <c r="D146" s="16" t="s">
        <v>143</v>
      </c>
      <c r="E146" s="17">
        <v>71.2175018435174</v>
      </c>
      <c r="F146" s="21">
        <f>Tabelle1!E145-Hoja1!E146</f>
        <v>-71.81224974</v>
      </c>
      <c r="G146" s="16">
        <f t="shared" si="1"/>
        <v>71.81224974</v>
      </c>
      <c r="H146" s="16"/>
      <c r="I146" s="17">
        <v>99.329999999958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ht="15.75" customHeight="1">
      <c r="A147" s="16"/>
      <c r="B147" s="16"/>
      <c r="C147" s="16"/>
      <c r="D147" s="16" t="s">
        <v>144</v>
      </c>
      <c r="E147" s="17">
        <v>37.1095813385091</v>
      </c>
      <c r="F147" s="21">
        <f>Tabelle1!E146-Hoja1!E147</f>
        <v>-37.30184338</v>
      </c>
      <c r="G147" s="16">
        <f t="shared" si="1"/>
        <v>37.30184338</v>
      </c>
      <c r="H147" s="16"/>
      <c r="I147" s="17">
        <v>59.1300000000046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ht="15.75" customHeight="1">
      <c r="A148" s="16"/>
      <c r="B148" s="16"/>
      <c r="C148" s="16"/>
      <c r="D148" s="16" t="s">
        <v>145</v>
      </c>
      <c r="E148" s="17">
        <v>17.1083961151386</v>
      </c>
      <c r="F148" s="21">
        <f>Tabelle1!E147-Hoja1!E148</f>
        <v>-17.0634917</v>
      </c>
      <c r="G148" s="16">
        <f t="shared" si="1"/>
        <v>17.0634917</v>
      </c>
      <c r="H148" s="16"/>
      <c r="I148" s="17">
        <v>18.5200000000186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ht="15.75" customHeight="1">
      <c r="A149" s="16"/>
      <c r="B149" s="16"/>
      <c r="C149" s="16"/>
      <c r="D149" s="16" t="s">
        <v>146</v>
      </c>
      <c r="E149" s="17">
        <v>1.98468397450687</v>
      </c>
      <c r="F149" s="21">
        <f>Tabelle1!E148-Hoja1!E149</f>
        <v>-1.825084235</v>
      </c>
      <c r="G149" s="16">
        <f t="shared" si="1"/>
        <v>1.825084235</v>
      </c>
      <c r="H149" s="16"/>
      <c r="I149" s="17">
        <v>1.52000000001862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ht="15.75" customHeight="1">
      <c r="A150" s="16"/>
      <c r="B150" s="16"/>
      <c r="C150" s="16"/>
      <c r="D150" s="16" t="s">
        <v>147</v>
      </c>
      <c r="E150" s="17">
        <v>0.0</v>
      </c>
      <c r="F150" s="21">
        <f>Tabelle1!E149-Hoja1!E150</f>
        <v>0.1680572</v>
      </c>
      <c r="G150" s="16">
        <f t="shared" si="1"/>
        <v>0.1680572</v>
      </c>
      <c r="H150" s="16"/>
      <c r="I150" s="17">
        <v>0.0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ht="15.75" customHeight="1">
      <c r="A151" s="16"/>
      <c r="B151" s="16"/>
      <c r="C151" s="16"/>
      <c r="D151" s="16" t="s">
        <v>148</v>
      </c>
      <c r="E151" s="17">
        <v>0.0</v>
      </c>
      <c r="F151" s="21">
        <f>Tabelle1!E150-Hoja1!E151</f>
        <v>0.1680572</v>
      </c>
      <c r="G151" s="16">
        <f t="shared" si="1"/>
        <v>0.1680572</v>
      </c>
      <c r="H151" s="16"/>
      <c r="I151" s="17">
        <v>0.0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ht="15.75" customHeight="1">
      <c r="A152" s="16"/>
      <c r="B152" s="16"/>
      <c r="C152" s="16"/>
      <c r="D152" s="16" t="s">
        <v>149</v>
      </c>
      <c r="E152" s="17">
        <v>0.0</v>
      </c>
      <c r="F152" s="20">
        <f>Tabelle1!E151-Hoja1!E152</f>
        <v>0.08440452</v>
      </c>
      <c r="G152" s="16">
        <f t="shared" si="1"/>
        <v>0.08440452</v>
      </c>
      <c r="H152" s="16"/>
      <c r="I152" s="17">
        <v>0.0300000000279396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ht="15.75" customHeight="1">
      <c r="A153" s="16"/>
      <c r="B153" s="16"/>
      <c r="C153" s="16"/>
      <c r="D153" s="16" t="s">
        <v>150</v>
      </c>
      <c r="E153" s="17">
        <v>0.0</v>
      </c>
      <c r="F153" s="21">
        <f>Tabelle1!E152-Hoja1!E153</f>
        <v>0.08440452</v>
      </c>
      <c r="G153" s="16">
        <f t="shared" si="1"/>
        <v>0.08440452</v>
      </c>
      <c r="H153" s="16"/>
      <c r="I153" s="17">
        <v>0.0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ht="15.75" customHeight="1">
      <c r="A154" s="16"/>
      <c r="B154" s="16"/>
      <c r="C154" s="16"/>
      <c r="D154" s="16" t="s">
        <v>151</v>
      </c>
      <c r="E154" s="17">
        <v>0.0</v>
      </c>
      <c r="F154" s="21">
        <f>Tabelle1!E153-Hoja1!E154</f>
        <v>0.08440452</v>
      </c>
      <c r="G154" s="16">
        <f t="shared" si="1"/>
        <v>0.08440452</v>
      </c>
      <c r="H154" s="16"/>
      <c r="I154" s="17">
        <v>0.0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ht="15.75" customHeight="1">
      <c r="A155" s="16"/>
      <c r="B155" s="16"/>
      <c r="C155" s="16"/>
      <c r="D155" s="16" t="s">
        <v>152</v>
      </c>
      <c r="E155" s="17">
        <v>0.0</v>
      </c>
      <c r="F155" s="20">
        <f>Tabelle1!E154-Hoja1!E155</f>
        <v>0.08440452</v>
      </c>
      <c r="G155" s="16">
        <f t="shared" si="1"/>
        <v>0.08440452</v>
      </c>
      <c r="H155" s="16"/>
      <c r="I155" s="17">
        <v>0.0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ht="15.75" customHeight="1">
      <c r="A156" s="16"/>
      <c r="B156" s="16"/>
      <c r="C156" s="16"/>
      <c r="D156" s="16" t="s">
        <v>153</v>
      </c>
      <c r="E156" s="17">
        <v>0.0</v>
      </c>
      <c r="F156" s="20">
        <f>Tabelle1!E155-Hoja1!E156</f>
        <v>0.08440452</v>
      </c>
      <c r="G156" s="16">
        <f t="shared" si="1"/>
        <v>0.08440452</v>
      </c>
      <c r="H156" s="16"/>
      <c r="I156" s="17">
        <v>0.0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ht="15.75" customHeight="1">
      <c r="A157" s="16"/>
      <c r="B157" s="16"/>
      <c r="C157" s="16"/>
      <c r="D157" s="16" t="s">
        <v>154</v>
      </c>
      <c r="E157" s="17">
        <v>0.0</v>
      </c>
      <c r="F157" s="20">
        <f>Tabelle1!E156-Hoja1!E157</f>
        <v>0.08440452</v>
      </c>
      <c r="G157" s="16">
        <f t="shared" si="1"/>
        <v>0.08440452</v>
      </c>
      <c r="H157" s="16"/>
      <c r="I157" s="17">
        <v>0.0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ht="15.75" customHeight="1">
      <c r="A158" s="16"/>
      <c r="B158" s="16"/>
      <c r="C158" s="16"/>
      <c r="D158" s="16" t="s">
        <v>155</v>
      </c>
      <c r="E158" s="17">
        <v>0.0</v>
      </c>
      <c r="F158" s="20">
        <f>Tabelle1!E157-Hoja1!E158</f>
        <v>0.08440452</v>
      </c>
      <c r="G158" s="16">
        <f t="shared" si="1"/>
        <v>0.08440452</v>
      </c>
      <c r="H158" s="16"/>
      <c r="I158" s="17">
        <v>0.0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ht="15.75" customHeight="1">
      <c r="A159" s="16"/>
      <c r="B159" s="16"/>
      <c r="C159" s="16"/>
      <c r="D159" s="16" t="s">
        <v>156</v>
      </c>
      <c r="E159" s="17">
        <v>0.0</v>
      </c>
      <c r="F159" s="20">
        <f>Tabelle1!E158-Hoja1!E159</f>
        <v>0.08440452</v>
      </c>
      <c r="G159" s="16">
        <f t="shared" si="1"/>
        <v>0.08440452</v>
      </c>
      <c r="H159" s="16"/>
      <c r="I159" s="17">
        <v>0.0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ht="15.75" customHeight="1">
      <c r="A160" s="16"/>
      <c r="B160" s="16"/>
      <c r="C160" s="16"/>
      <c r="D160" s="16" t="s">
        <v>157</v>
      </c>
      <c r="E160" s="17">
        <v>0.0</v>
      </c>
      <c r="F160" s="16">
        <f>Tabelle1!E159-Hoja1!E160</f>
        <v>0.08440452</v>
      </c>
      <c r="G160" s="16">
        <f t="shared" si="1"/>
        <v>0.08440452</v>
      </c>
      <c r="H160" s="16"/>
      <c r="I160" s="17">
        <v>0.0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ht="15.75" customHeight="1">
      <c r="A161" s="16"/>
      <c r="B161" s="16"/>
      <c r="C161" s="16"/>
      <c r="D161" s="16" t="s">
        <v>158</v>
      </c>
      <c r="E161" s="17">
        <v>7.71800196666497</v>
      </c>
      <c r="F161" s="21">
        <f>Tabelle1!E160-Hoja1!E161</f>
        <v>-7.544173007</v>
      </c>
      <c r="G161" s="16">
        <f t="shared" si="1"/>
        <v>7.544173007</v>
      </c>
      <c r="H161" s="16"/>
      <c r="I161" s="17">
        <v>0.0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ht="15.75" customHeight="1">
      <c r="A162" s="16"/>
      <c r="B162" s="16"/>
      <c r="C162" s="16"/>
      <c r="D162" s="16" t="s">
        <v>159</v>
      </c>
      <c r="E162" s="17">
        <v>24.8024923898742</v>
      </c>
      <c r="F162" s="21">
        <f>Tabelle1!E161-Hoja1!E162</f>
        <v>-25.01503968</v>
      </c>
      <c r="G162" s="16">
        <f t="shared" si="1"/>
        <v>25.01503968</v>
      </c>
      <c r="H162" s="16"/>
      <c r="I162" s="17">
        <v>0.0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ht="15.75" customHeight="1">
      <c r="A163" s="16"/>
      <c r="B163" s="16"/>
      <c r="C163" s="16"/>
      <c r="D163" s="16" t="s">
        <v>160</v>
      </c>
      <c r="E163" s="17">
        <v>79.8110002910617</v>
      </c>
      <c r="F163" s="16">
        <f>Tabelle1!E162-Hoja1!E163</f>
        <v>-79.92353395</v>
      </c>
      <c r="G163" s="16">
        <f t="shared" si="1"/>
        <v>79.92353395</v>
      </c>
      <c r="H163" s="16"/>
      <c r="I163" s="17">
        <v>0.0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ht="15.75" customHeight="1">
      <c r="A164" s="16"/>
      <c r="B164" s="16"/>
      <c r="C164" s="16"/>
      <c r="D164" s="16" t="s">
        <v>161</v>
      </c>
      <c r="E164" s="17">
        <v>107.099815912072</v>
      </c>
      <c r="F164" s="16">
        <f>Tabelle1!E163-Hoja1!E164</f>
        <v>-107.2123496</v>
      </c>
      <c r="G164" s="16">
        <f t="shared" si="1"/>
        <v>107.2123496</v>
      </c>
      <c r="H164" s="16"/>
      <c r="I164" s="17">
        <v>0.0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ht="15.75" customHeight="1">
      <c r="A165" s="16"/>
      <c r="B165" s="16"/>
      <c r="C165" s="16"/>
      <c r="D165" s="16" t="s">
        <v>162</v>
      </c>
      <c r="E165" s="17">
        <v>121.716397146084</v>
      </c>
      <c r="F165" s="21">
        <f>Tabelle1!E164-Hoja1!E165</f>
        <v>-121.8289308</v>
      </c>
      <c r="G165" s="16">
        <f t="shared" si="1"/>
        <v>121.8289308</v>
      </c>
      <c r="H165" s="16"/>
      <c r="I165" s="17">
        <v>0.0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ht="15.75" customHeight="1">
      <c r="A166" s="16"/>
      <c r="B166" s="16"/>
      <c r="C166" s="16"/>
      <c r="D166" s="16" t="s">
        <v>163</v>
      </c>
      <c r="E166" s="17">
        <v>121.937872433981</v>
      </c>
      <c r="F166" s="21">
        <f>Tabelle1!E165-Hoja1!E166</f>
        <v>-122.0504061</v>
      </c>
      <c r="G166" s="16">
        <f t="shared" si="1"/>
        <v>122.0504061</v>
      </c>
      <c r="H166" s="16"/>
      <c r="I166" s="17">
        <v>0.0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ht="15.75" customHeight="1">
      <c r="A167" s="16"/>
      <c r="B167" s="16"/>
      <c r="C167" s="16"/>
      <c r="D167" s="16" t="s">
        <v>164</v>
      </c>
      <c r="E167" s="17">
        <v>120.336125231589</v>
      </c>
      <c r="F167" s="21">
        <f>Tabelle1!E166-Hoja1!E167</f>
        <v>-120.4486589</v>
      </c>
      <c r="G167" s="16">
        <f t="shared" si="1"/>
        <v>120.4486589</v>
      </c>
      <c r="H167" s="16"/>
      <c r="I167" s="17">
        <v>0.0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ht="15.75" customHeight="1">
      <c r="A168" s="16"/>
      <c r="B168" s="16"/>
      <c r="C168" s="16"/>
      <c r="D168" s="16" t="s">
        <v>165</v>
      </c>
      <c r="E168" s="17">
        <v>115.46817355119</v>
      </c>
      <c r="F168" s="21">
        <f>Tabelle1!E167-Hoja1!E168</f>
        <v>-115.5807072</v>
      </c>
      <c r="G168" s="16">
        <f t="shared" si="1"/>
        <v>115.5807072</v>
      </c>
      <c r="H168" s="16"/>
      <c r="I168" s="17">
        <v>0.0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ht="15.75" customHeight="1">
      <c r="A169" s="16"/>
      <c r="B169" s="16"/>
      <c r="C169" s="16"/>
      <c r="D169" s="16" t="s">
        <v>166</v>
      </c>
      <c r="E169" s="17">
        <v>103.961922892209</v>
      </c>
      <c r="F169" s="21">
        <f>Tabelle1!E168-Hoja1!E169</f>
        <v>-104.0744566</v>
      </c>
      <c r="G169" s="16">
        <f t="shared" si="1"/>
        <v>104.0744566</v>
      </c>
      <c r="H169" s="16"/>
      <c r="I169" s="17">
        <v>0.0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ht="15.75" customHeight="1">
      <c r="A170" s="16"/>
      <c r="B170" s="16"/>
      <c r="C170" s="16"/>
      <c r="D170" s="16" t="s">
        <v>167</v>
      </c>
      <c r="E170" s="17">
        <v>69.8114476302183</v>
      </c>
      <c r="F170" s="21">
        <f>Tabelle1!E169-Hoja1!E170</f>
        <v>-69.88602824</v>
      </c>
      <c r="G170" s="16">
        <f t="shared" si="1"/>
        <v>69.88602824</v>
      </c>
      <c r="H170" s="16"/>
      <c r="I170" s="17">
        <v>0.0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ht="15.75" customHeight="1">
      <c r="A171" s="16"/>
      <c r="B171" s="16"/>
      <c r="C171" s="16"/>
      <c r="D171" s="16" t="s">
        <v>168</v>
      </c>
      <c r="E171" s="17">
        <v>21.8763505883968</v>
      </c>
      <c r="F171" s="16">
        <f>Tabelle1!E170-Hoja1!E171</f>
        <v>-21.71920627</v>
      </c>
      <c r="G171" s="16">
        <f t="shared" si="1"/>
        <v>21.71920627</v>
      </c>
      <c r="H171" s="16"/>
      <c r="I171" s="17">
        <v>0.0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ht="15.75" customHeight="1">
      <c r="A172" s="16"/>
      <c r="B172" s="16"/>
      <c r="C172" s="16"/>
      <c r="D172" s="16" t="s">
        <v>169</v>
      </c>
      <c r="E172" s="17">
        <v>15.5380795391326</v>
      </c>
      <c r="F172" s="16">
        <f>Tabelle1!E171-Hoja1!E172</f>
        <v>-15.41321945</v>
      </c>
      <c r="G172" s="16">
        <f t="shared" si="1"/>
        <v>15.41321945</v>
      </c>
      <c r="H172" s="16"/>
      <c r="I172" s="17">
        <v>0.0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ht="15.75" customHeight="1">
      <c r="A173" s="16"/>
      <c r="B173" s="16"/>
      <c r="C173" s="16"/>
      <c r="D173" s="16" t="s">
        <v>170</v>
      </c>
      <c r="E173" s="17">
        <v>1.23695410268465</v>
      </c>
      <c r="F173" s="16">
        <f>Tabelle1!E172-Hoja1!E173</f>
        <v>-1.077229463</v>
      </c>
      <c r="G173" s="16">
        <f t="shared" si="1"/>
        <v>1.077229463</v>
      </c>
      <c r="H173" s="16"/>
      <c r="I173" s="17">
        <v>0.0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ht="15.75" customHeight="1">
      <c r="A174" s="16"/>
      <c r="B174" s="16"/>
      <c r="C174" s="16"/>
      <c r="D174" s="16" t="s">
        <v>171</v>
      </c>
      <c r="E174" s="17">
        <v>0.0</v>
      </c>
      <c r="F174" s="16">
        <f>Tabelle1!E173-Hoja1!E174</f>
        <v>0.1681821</v>
      </c>
      <c r="G174" s="16">
        <f t="shared" si="1"/>
        <v>0.1681821</v>
      </c>
      <c r="H174" s="16"/>
      <c r="I174" s="17">
        <v>0.0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ht="15.75" customHeight="1">
      <c r="A175" s="16"/>
      <c r="B175" s="16"/>
      <c r="C175" s="16"/>
      <c r="D175" s="16" t="s">
        <v>172</v>
      </c>
      <c r="E175" s="17">
        <v>0.0</v>
      </c>
      <c r="F175" s="16">
        <f>Tabelle1!E174-Hoja1!E175</f>
        <v>0.1681821</v>
      </c>
      <c r="G175" s="16">
        <f t="shared" si="1"/>
        <v>0.1681821</v>
      </c>
      <c r="H175" s="16"/>
      <c r="I175" s="17">
        <v>0.0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ht="15.75" customHeight="1">
      <c r="A176" s="16"/>
      <c r="B176" s="16"/>
      <c r="C176" s="16"/>
      <c r="D176" s="16" t="s">
        <v>173</v>
      </c>
      <c r="E176" s="17">
        <v>0.0</v>
      </c>
      <c r="F176" s="16">
        <f>Tabelle1!E175-Hoja1!E176</f>
        <v>0.08440452</v>
      </c>
      <c r="G176" s="16">
        <f t="shared" si="1"/>
        <v>0.08440452</v>
      </c>
      <c r="H176" s="16"/>
      <c r="I176" s="17">
        <v>0.0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ht="15.75" customHeight="1">
      <c r="A177" s="16"/>
      <c r="B177" s="16"/>
      <c r="C177" s="16"/>
      <c r="D177" s="16" t="s">
        <v>174</v>
      </c>
      <c r="E177" s="17">
        <v>0.0</v>
      </c>
      <c r="F177" s="20">
        <f>Tabelle1!E176-Hoja1!E177</f>
        <v>0.08440452</v>
      </c>
      <c r="G177" s="16">
        <f t="shared" si="1"/>
        <v>0.08440452</v>
      </c>
      <c r="H177" s="16"/>
      <c r="I177" s="17">
        <v>0.0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ht="15.75" customHeight="1">
      <c r="A178" s="16"/>
      <c r="B178" s="16"/>
      <c r="C178" s="16"/>
      <c r="D178" s="16" t="s">
        <v>175</v>
      </c>
      <c r="E178" s="17">
        <v>0.0</v>
      </c>
      <c r="F178" s="16">
        <f>Tabelle1!E177-Hoja1!E178</f>
        <v>0.08440452</v>
      </c>
      <c r="G178" s="16">
        <f t="shared" si="1"/>
        <v>0.08440452</v>
      </c>
      <c r="H178" s="16"/>
      <c r="I178" s="17">
        <v>0.0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ht="15.75" customHeight="1">
      <c r="A179" s="16"/>
      <c r="B179" s="16"/>
      <c r="C179" s="16"/>
      <c r="D179" s="16" t="s">
        <v>176</v>
      </c>
      <c r="E179" s="17">
        <v>0.0</v>
      </c>
      <c r="F179" s="20">
        <f>Tabelle1!E178-Hoja1!E179</f>
        <v>0.08440452</v>
      </c>
      <c r="G179" s="16">
        <f t="shared" si="1"/>
        <v>0.08440452</v>
      </c>
      <c r="H179" s="16"/>
      <c r="I179" s="17">
        <v>0.0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ht="15.75" customHeight="1">
      <c r="A180" s="16"/>
      <c r="B180" s="16"/>
      <c r="C180" s="16"/>
      <c r="D180" s="16" t="s">
        <v>177</v>
      </c>
      <c r="E180" s="17">
        <v>0.0</v>
      </c>
      <c r="F180" s="20">
        <f>Tabelle1!E179-Hoja1!E180</f>
        <v>0.08440452</v>
      </c>
      <c r="G180" s="16">
        <f t="shared" si="1"/>
        <v>0.08440452</v>
      </c>
      <c r="H180" s="16"/>
      <c r="I180" s="17">
        <v>0.0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ht="15.75" customHeight="1">
      <c r="A181" s="16"/>
      <c r="B181" s="16"/>
      <c r="C181" s="16"/>
      <c r="D181" s="16" t="s">
        <v>178</v>
      </c>
      <c r="E181" s="17">
        <v>0.0</v>
      </c>
      <c r="F181" s="20">
        <f>Tabelle1!E180-Hoja1!E181</f>
        <v>0.08440452</v>
      </c>
      <c r="G181" s="16">
        <f t="shared" si="1"/>
        <v>0.08440452</v>
      </c>
      <c r="H181" s="16"/>
      <c r="I181" s="17">
        <v>0.0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ht="15.75" customHeight="1">
      <c r="A182" s="16"/>
      <c r="B182" s="16"/>
      <c r="C182" s="16"/>
      <c r="D182" s="16" t="s">
        <v>179</v>
      </c>
      <c r="E182" s="17">
        <v>0.0</v>
      </c>
      <c r="F182" s="20">
        <f>Tabelle1!E181-Hoja1!E182</f>
        <v>0.08440452</v>
      </c>
      <c r="G182" s="16">
        <f t="shared" si="1"/>
        <v>0.08440452</v>
      </c>
      <c r="H182" s="16"/>
      <c r="I182" s="17">
        <v>0.0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ht="15.75" customHeight="1">
      <c r="A183" s="16"/>
      <c r="B183" s="16"/>
      <c r="C183" s="16"/>
      <c r="D183" s="16" t="s">
        <v>180</v>
      </c>
      <c r="E183" s="17">
        <v>0.0</v>
      </c>
      <c r="F183" s="20">
        <f>Tabelle1!E182-Hoja1!E183</f>
        <v>0.08440452</v>
      </c>
      <c r="G183" s="16">
        <f t="shared" si="1"/>
        <v>0.08440452</v>
      </c>
      <c r="H183" s="16"/>
      <c r="I183" s="17">
        <v>0.0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ht="15.75" customHeight="1">
      <c r="A184" s="16"/>
      <c r="B184" s="16"/>
      <c r="C184" s="16"/>
      <c r="D184" s="16" t="s">
        <v>181</v>
      </c>
      <c r="E184" s="17">
        <v>0.0</v>
      </c>
      <c r="F184" s="16">
        <f>Tabelle1!E183-Hoja1!E184</f>
        <v>0.08440452</v>
      </c>
      <c r="G184" s="16">
        <f t="shared" si="1"/>
        <v>0.08440452</v>
      </c>
      <c r="H184" s="16"/>
      <c r="I184" s="17">
        <v>0.159999999974388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ht="15.75" customHeight="1">
      <c r="A185" s="16"/>
      <c r="B185" s="16"/>
      <c r="C185" s="16"/>
      <c r="D185" s="16" t="s">
        <v>182</v>
      </c>
      <c r="E185" s="17">
        <v>7.79327071971224</v>
      </c>
      <c r="F185" s="21">
        <f>Tabelle1!E184-Hoja1!E185</f>
        <v>-7.61944176</v>
      </c>
      <c r="G185" s="16">
        <f t="shared" si="1"/>
        <v>7.61944176</v>
      </c>
      <c r="H185" s="16"/>
      <c r="I185" s="17">
        <v>6.64000000001397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ht="15.75" customHeight="1">
      <c r="A186" s="16"/>
      <c r="B186" s="16"/>
      <c r="C186" s="16"/>
      <c r="D186" s="16" t="s">
        <v>183</v>
      </c>
      <c r="E186" s="17">
        <v>21.2446399514147</v>
      </c>
      <c r="F186" s="21">
        <f>Tabelle1!E185-Hoja1!E186</f>
        <v>-21.45718724</v>
      </c>
      <c r="G186" s="16">
        <f t="shared" si="1"/>
        <v>21.45718724</v>
      </c>
      <c r="H186" s="16"/>
      <c r="I186" s="17">
        <v>21.7299999999813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ht="15.75" customHeight="1">
      <c r="A187" s="16"/>
      <c r="B187" s="16"/>
      <c r="C187" s="16"/>
      <c r="D187" s="16" t="s">
        <v>184</v>
      </c>
      <c r="E187" s="17">
        <v>76.2217401197993</v>
      </c>
      <c r="F187" s="16">
        <f>Tabelle1!E186-Hoja1!E187</f>
        <v>-76.33427378</v>
      </c>
      <c r="G187" s="16">
        <f t="shared" si="1"/>
        <v>76.33427378</v>
      </c>
      <c r="H187" s="16"/>
      <c r="I187" s="17">
        <v>48.75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ht="15.75" customHeight="1">
      <c r="A188" s="16"/>
      <c r="B188" s="16"/>
      <c r="C188" s="16"/>
      <c r="D188" s="16" t="s">
        <v>185</v>
      </c>
      <c r="E188" s="17">
        <v>105.421068071845</v>
      </c>
      <c r="F188" s="16">
        <f>Tabelle1!E187-Hoja1!E188</f>
        <v>-105.5336017</v>
      </c>
      <c r="G188" s="16">
        <f t="shared" si="1"/>
        <v>105.5336017</v>
      </c>
      <c r="H188" s="16"/>
      <c r="I188" s="17">
        <v>109.170000000041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ht="15.75" customHeight="1">
      <c r="A189" s="16"/>
      <c r="B189" s="16"/>
      <c r="C189" s="16"/>
      <c r="D189" s="16" t="s">
        <v>186</v>
      </c>
      <c r="E189" s="17">
        <v>121.16871160949</v>
      </c>
      <c r="F189" s="21">
        <f>Tabelle1!E188-Hoja1!E189</f>
        <v>-121.2812453</v>
      </c>
      <c r="G189" s="16">
        <f t="shared" si="1"/>
        <v>121.2812453</v>
      </c>
      <c r="H189" s="16"/>
      <c r="I189" s="17">
        <v>123.159999999974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ht="15.75" customHeight="1">
      <c r="A190" s="16"/>
      <c r="B190" s="16"/>
      <c r="C190" s="16"/>
      <c r="D190" s="16" t="s">
        <v>187</v>
      </c>
      <c r="E190" s="17">
        <v>122.885422467922</v>
      </c>
      <c r="F190" s="21">
        <f>Tabelle1!E189-Hoja1!E190</f>
        <v>-122.9979561</v>
      </c>
      <c r="G190" s="16">
        <f t="shared" si="1"/>
        <v>122.9979561</v>
      </c>
      <c r="H190" s="16"/>
      <c r="I190" s="17">
        <v>126.059999999997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ht="15.75" customHeight="1">
      <c r="A191" s="16"/>
      <c r="B191" s="16"/>
      <c r="C191" s="16"/>
      <c r="D191" s="16" t="s">
        <v>188</v>
      </c>
      <c r="E191" s="17">
        <v>122.858487782435</v>
      </c>
      <c r="F191" s="21">
        <f>Tabelle1!E190-Hoja1!E191</f>
        <v>-122.9710214</v>
      </c>
      <c r="G191" s="16">
        <f t="shared" si="1"/>
        <v>122.9710214</v>
      </c>
      <c r="H191" s="16"/>
      <c r="I191" s="17">
        <v>126.23999999999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ht="15.75" customHeight="1">
      <c r="A192" s="16"/>
      <c r="B192" s="16"/>
      <c r="C192" s="16"/>
      <c r="D192" s="16" t="s">
        <v>189</v>
      </c>
      <c r="E192" s="17">
        <v>116.708667836759</v>
      </c>
      <c r="F192" s="21">
        <f>Tabelle1!E191-Hoja1!E192</f>
        <v>-116.8212015</v>
      </c>
      <c r="G192" s="16">
        <f t="shared" si="1"/>
        <v>116.8212015</v>
      </c>
      <c r="H192" s="16"/>
      <c r="I192" s="17">
        <v>119.940000000002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ht="15.75" customHeight="1">
      <c r="A193" s="16"/>
      <c r="B193" s="16"/>
      <c r="C193" s="16"/>
      <c r="D193" s="16" t="s">
        <v>190</v>
      </c>
      <c r="E193" s="17">
        <v>103.50658004961</v>
      </c>
      <c r="F193" s="21">
        <f>Tabelle1!E192-Hoja1!E193</f>
        <v>-103.6191137</v>
      </c>
      <c r="G193" s="16">
        <f t="shared" si="1"/>
        <v>103.6191137</v>
      </c>
      <c r="H193" s="16"/>
      <c r="I193" s="17">
        <v>111.71000000002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ht="15.75" customHeight="1">
      <c r="A194" s="16"/>
      <c r="B194" s="16"/>
      <c r="C194" s="16"/>
      <c r="D194" s="16" t="s">
        <v>191</v>
      </c>
      <c r="E194" s="17">
        <v>73.7055675110178</v>
      </c>
      <c r="F194" s="21">
        <f>Tabelle1!E193-Hoja1!E194</f>
        <v>-73.78014812</v>
      </c>
      <c r="G194" s="16">
        <f t="shared" si="1"/>
        <v>73.78014812</v>
      </c>
      <c r="H194" s="16"/>
      <c r="I194" s="17">
        <v>89.6300000000046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ht="15.75" customHeight="1">
      <c r="A195" s="16"/>
      <c r="B195" s="16"/>
      <c r="C195" s="16"/>
      <c r="D195" s="16" t="s">
        <v>192</v>
      </c>
      <c r="E195" s="17">
        <v>31.844214879566</v>
      </c>
      <c r="F195" s="16">
        <f>Tabelle1!E194-Hoja1!E195</f>
        <v>-31.68707056</v>
      </c>
      <c r="G195" s="16">
        <f t="shared" si="1"/>
        <v>31.68707056</v>
      </c>
      <c r="H195" s="16"/>
      <c r="I195" s="17">
        <v>42.6999999999534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ht="15.75" customHeight="1">
      <c r="A196" s="16"/>
      <c r="B196" s="16"/>
      <c r="C196" s="16"/>
      <c r="D196" s="16" t="s">
        <v>193</v>
      </c>
      <c r="E196" s="17">
        <v>18.203645300384</v>
      </c>
      <c r="F196" s="16">
        <f>Tabelle1!E195-Hoja1!E196</f>
        <v>-18.07878521</v>
      </c>
      <c r="G196" s="16">
        <f t="shared" si="1"/>
        <v>18.07878521</v>
      </c>
      <c r="H196" s="16"/>
      <c r="I196" s="17">
        <v>16.6400000000139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ht="15.75" customHeight="1">
      <c r="A197" s="16"/>
      <c r="B197" s="16"/>
      <c r="C197" s="16"/>
      <c r="D197" s="16" t="s">
        <v>194</v>
      </c>
      <c r="E197" s="17">
        <v>1.2062105785629</v>
      </c>
      <c r="F197" s="16">
        <f>Tabelle1!E196-Hoja1!E197</f>
        <v>-1.046485939</v>
      </c>
      <c r="G197" s="16">
        <f t="shared" si="1"/>
        <v>1.046485939</v>
      </c>
      <c r="H197" s="16"/>
      <c r="I197" s="17">
        <v>1.20000000001164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ht="15.75" customHeight="1">
      <c r="A198" s="16"/>
      <c r="B198" s="16"/>
      <c r="C198" s="16"/>
      <c r="D198" s="16" t="s">
        <v>195</v>
      </c>
      <c r="E198" s="17">
        <v>0.0</v>
      </c>
      <c r="F198" s="16">
        <f>Tabelle1!E197-Hoja1!E198</f>
        <v>0.1681821</v>
      </c>
      <c r="G198" s="16">
        <f t="shared" si="1"/>
        <v>0.1681821</v>
      </c>
      <c r="H198" s="16"/>
      <c r="I198" s="17">
        <v>0.0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ht="15.75" customHeight="1">
      <c r="A199" s="16"/>
      <c r="B199" s="16"/>
      <c r="C199" s="16"/>
      <c r="D199" s="16" t="s">
        <v>196</v>
      </c>
      <c r="E199" s="17">
        <v>0.0</v>
      </c>
      <c r="F199" s="16">
        <f>Tabelle1!E198-Hoja1!E199</f>
        <v>0.1681821</v>
      </c>
      <c r="G199" s="16">
        <f t="shared" si="1"/>
        <v>0.1681821</v>
      </c>
      <c r="H199" s="16"/>
      <c r="I199" s="17">
        <v>0.0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ht="15.75" customHeight="1">
      <c r="A200" s="16"/>
      <c r="B200" s="16"/>
      <c r="C200" s="16"/>
      <c r="D200" s="16" t="s">
        <v>197</v>
      </c>
      <c r="E200" s="17">
        <v>0.0</v>
      </c>
      <c r="F200" s="20">
        <f>Tabelle1!E199-Hoja1!E200</f>
        <v>0.07803707</v>
      </c>
      <c r="G200" s="16">
        <f t="shared" si="1"/>
        <v>0.07803707</v>
      </c>
      <c r="H200" s="16"/>
      <c r="I200" s="17">
        <v>0.0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ht="15.75" customHeight="1">
      <c r="A201" s="16"/>
      <c r="B201" s="16"/>
      <c r="C201" s="16"/>
      <c r="D201" s="16" t="s">
        <v>198</v>
      </c>
      <c r="E201" s="17">
        <v>0.0</v>
      </c>
      <c r="F201" s="20">
        <f>Tabelle1!E200-Hoja1!E201</f>
        <v>0.07803707</v>
      </c>
      <c r="G201" s="16">
        <f t="shared" si="1"/>
        <v>0.07803707</v>
      </c>
      <c r="H201" s="16"/>
      <c r="I201" s="17">
        <v>0.0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ht="15.75" customHeight="1">
      <c r="A202" s="16"/>
      <c r="B202" s="16"/>
      <c r="C202" s="16"/>
      <c r="D202" s="16" t="s">
        <v>199</v>
      </c>
      <c r="E202" s="17">
        <v>0.0</v>
      </c>
      <c r="F202" s="16">
        <f>Tabelle1!E201-Hoja1!E202</f>
        <v>0.07803707</v>
      </c>
      <c r="G202" s="16">
        <f t="shared" si="1"/>
        <v>0.07803707</v>
      </c>
      <c r="H202" s="16"/>
      <c r="I202" s="17">
        <v>0.0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ht="15.75" customHeight="1">
      <c r="A203" s="16"/>
      <c r="B203" s="16"/>
      <c r="C203" s="16"/>
      <c r="D203" s="16" t="s">
        <v>200</v>
      </c>
      <c r="E203" s="17">
        <v>0.0</v>
      </c>
      <c r="F203" s="20">
        <f>Tabelle1!E202-Hoja1!E203</f>
        <v>0.07803707</v>
      </c>
      <c r="G203" s="16">
        <f t="shared" si="1"/>
        <v>0.07803707</v>
      </c>
      <c r="H203" s="16"/>
      <c r="I203" s="17">
        <v>0.0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ht="15.75" customHeight="1">
      <c r="A204" s="16"/>
      <c r="B204" s="16"/>
      <c r="C204" s="16"/>
      <c r="D204" s="16" t="s">
        <v>201</v>
      </c>
      <c r="E204" s="17">
        <v>0.0</v>
      </c>
      <c r="F204" s="20">
        <f>Tabelle1!E203-Hoja1!E204</f>
        <v>0.07803707</v>
      </c>
      <c r="G204" s="16">
        <f t="shared" si="1"/>
        <v>0.07803707</v>
      </c>
      <c r="H204" s="16"/>
      <c r="I204" s="17">
        <v>0.0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ht="15.75" customHeight="1">
      <c r="A205" s="16"/>
      <c r="B205" s="16"/>
      <c r="C205" s="16"/>
      <c r="D205" s="16" t="s">
        <v>202</v>
      </c>
      <c r="E205" s="17">
        <v>0.0</v>
      </c>
      <c r="F205" s="20">
        <f>Tabelle1!E204-Hoja1!E205</f>
        <v>0.07803707</v>
      </c>
      <c r="G205" s="16">
        <f t="shared" si="1"/>
        <v>0.07803707</v>
      </c>
      <c r="H205" s="16"/>
      <c r="I205" s="17">
        <v>0.0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ht="15.75" customHeight="1">
      <c r="A206" s="16"/>
      <c r="B206" s="16"/>
      <c r="C206" s="16"/>
      <c r="D206" s="16" t="s">
        <v>203</v>
      </c>
      <c r="E206" s="17">
        <v>0.0</v>
      </c>
      <c r="F206" s="20">
        <f>Tabelle1!E205-Hoja1!E206</f>
        <v>0.07803707</v>
      </c>
      <c r="G206" s="16">
        <f t="shared" si="1"/>
        <v>0.07803707</v>
      </c>
      <c r="H206" s="16"/>
      <c r="I206" s="17">
        <v>0.0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ht="15.75" customHeight="1">
      <c r="A207" s="16"/>
      <c r="B207" s="16"/>
      <c r="C207" s="16"/>
      <c r="D207" s="16" t="s">
        <v>204</v>
      </c>
      <c r="E207" s="17">
        <v>0.0</v>
      </c>
      <c r="F207" s="20">
        <f>Tabelle1!E206-Hoja1!E207</f>
        <v>0.07803707</v>
      </c>
      <c r="G207" s="16">
        <f t="shared" si="1"/>
        <v>0.07803707</v>
      </c>
      <c r="H207" s="16"/>
      <c r="I207" s="17">
        <v>0.0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ht="15.75" customHeight="1">
      <c r="A208" s="16"/>
      <c r="B208" s="16"/>
      <c r="C208" s="16"/>
      <c r="D208" s="16" t="s">
        <v>205</v>
      </c>
      <c r="E208" s="17">
        <v>0.0</v>
      </c>
      <c r="F208" s="20">
        <f>Tabelle1!E207-Hoja1!E208</f>
        <v>0.07803707</v>
      </c>
      <c r="G208" s="16">
        <f t="shared" si="1"/>
        <v>0.07803707</v>
      </c>
      <c r="H208" s="16"/>
      <c r="I208" s="17">
        <v>0.200000000011641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ht="15.75" customHeight="1">
      <c r="A209" s="16"/>
      <c r="B209" s="16"/>
      <c r="C209" s="16"/>
      <c r="D209" s="16" t="s">
        <v>206</v>
      </c>
      <c r="E209" s="17">
        <v>7.80913302893654</v>
      </c>
      <c r="F209" s="21">
        <f>Tabelle1!E208-Hoja1!E209</f>
        <v>-7.641671529</v>
      </c>
      <c r="G209" s="16">
        <f t="shared" si="1"/>
        <v>7.641671529</v>
      </c>
      <c r="H209" s="16"/>
      <c r="I209" s="17">
        <v>6.23999999999068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ht="15.75" customHeight="1">
      <c r="A210" s="16"/>
      <c r="B210" s="16"/>
      <c r="C210" s="16"/>
      <c r="D210" s="16" t="s">
        <v>207</v>
      </c>
      <c r="E210" s="17">
        <v>38.1055095261982</v>
      </c>
      <c r="F210" s="21">
        <f>Tabelle1!E209-Hoja1!E210</f>
        <v>-38.46396583</v>
      </c>
      <c r="G210" s="16">
        <f t="shared" si="1"/>
        <v>38.46396583</v>
      </c>
      <c r="H210" s="16"/>
      <c r="I210" s="17">
        <v>39.6900000000023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ht="15.75" customHeight="1">
      <c r="A211" s="16"/>
      <c r="B211" s="16"/>
      <c r="C211" s="16"/>
      <c r="D211" s="16" t="s">
        <v>208</v>
      </c>
      <c r="E211" s="17">
        <v>85.7465925146795</v>
      </c>
      <c r="F211" s="21">
        <f>Tabelle1!E210-Hoja1!E211</f>
        <v>-86.50244128</v>
      </c>
      <c r="G211" s="16">
        <f t="shared" si="1"/>
        <v>86.50244128</v>
      </c>
      <c r="H211" s="16"/>
      <c r="I211" s="17">
        <v>85.469999999972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ht="15.75" customHeight="1">
      <c r="A212" s="16"/>
      <c r="B212" s="16"/>
      <c r="C212" s="16"/>
      <c r="D212" s="16" t="s">
        <v>209</v>
      </c>
      <c r="E212" s="17">
        <v>113.143933765432</v>
      </c>
      <c r="F212" s="21">
        <f>Tabelle1!E211-Hoja1!E212</f>
        <v>-113.8997825</v>
      </c>
      <c r="G212" s="16">
        <f t="shared" si="1"/>
        <v>113.8997825</v>
      </c>
      <c r="H212" s="16"/>
      <c r="I212" s="17">
        <v>118.780000000027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ht="15.75" customHeight="1">
      <c r="A213" s="16"/>
      <c r="B213" s="16"/>
      <c r="C213" s="16"/>
      <c r="D213" s="16" t="s">
        <v>210</v>
      </c>
      <c r="E213" s="17">
        <v>125.256830340982</v>
      </c>
      <c r="F213" s="21">
        <f>Tabelle1!E212-Hoja1!E213</f>
        <v>-126.0126791</v>
      </c>
      <c r="G213" s="16">
        <f t="shared" si="1"/>
        <v>126.0126791</v>
      </c>
      <c r="H213" s="16"/>
      <c r="I213" s="17">
        <v>129.369999999995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ht="15.75" customHeight="1">
      <c r="A214" s="16"/>
      <c r="B214" s="16"/>
      <c r="C214" s="16"/>
      <c r="D214" s="16" t="s">
        <v>211</v>
      </c>
      <c r="E214" s="17">
        <v>128.863138614307</v>
      </c>
      <c r="F214" s="21">
        <f>Tabelle1!E213-Hoja1!E214</f>
        <v>-129.6189874</v>
      </c>
      <c r="G214" s="16">
        <f t="shared" si="1"/>
        <v>129.6189874</v>
      </c>
      <c r="H214" s="16"/>
      <c r="I214" s="17">
        <v>131.729999999981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ht="15.75" customHeight="1">
      <c r="A215" s="16"/>
      <c r="B215" s="16"/>
      <c r="C215" s="16"/>
      <c r="D215" s="16" t="s">
        <v>212</v>
      </c>
      <c r="E215" s="17">
        <v>127.355950940902</v>
      </c>
      <c r="F215" s="21">
        <f>Tabelle1!E214-Hoja1!E215</f>
        <v>-128.1117997</v>
      </c>
      <c r="G215" s="16">
        <f t="shared" si="1"/>
        <v>128.1117997</v>
      </c>
      <c r="H215" s="16"/>
      <c r="I215" s="17">
        <v>127.760000000009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ht="15.75" customHeight="1">
      <c r="A216" s="16"/>
      <c r="B216" s="16"/>
      <c r="C216" s="16"/>
      <c r="D216" s="16" t="s">
        <v>213</v>
      </c>
      <c r="E216" s="17">
        <v>120.52973352456</v>
      </c>
      <c r="F216" s="21">
        <f>Tabelle1!E215-Hoja1!E216</f>
        <v>-121.2855823</v>
      </c>
      <c r="G216" s="16">
        <f t="shared" si="1"/>
        <v>121.2855823</v>
      </c>
      <c r="H216" s="16"/>
      <c r="I216" s="17">
        <v>121.160000000032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ht="15.75" customHeight="1">
      <c r="A217" s="16"/>
      <c r="B217" s="16"/>
      <c r="C217" s="16"/>
      <c r="D217" s="16" t="s">
        <v>214</v>
      </c>
      <c r="E217" s="17">
        <v>109.834310982646</v>
      </c>
      <c r="F217" s="21">
        <f>Tabelle1!E216-Hoja1!E217</f>
        <v>-110.5901598</v>
      </c>
      <c r="G217" s="16">
        <f t="shared" si="1"/>
        <v>110.5901598</v>
      </c>
      <c r="H217" s="16"/>
      <c r="I217" s="17">
        <v>116.449999999953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ht="15.75" customHeight="1">
      <c r="A218" s="16"/>
      <c r="B218" s="16"/>
      <c r="C218" s="16"/>
      <c r="D218" s="16" t="s">
        <v>215</v>
      </c>
      <c r="E218" s="17">
        <v>80.2719959801399</v>
      </c>
      <c r="F218" s="21">
        <f>Tabelle1!E217-Hoja1!E218</f>
        <v>-80.93741768</v>
      </c>
      <c r="G218" s="16">
        <f t="shared" si="1"/>
        <v>80.93741768</v>
      </c>
      <c r="H218" s="16"/>
      <c r="I218" s="17">
        <v>95.4900000000489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ht="15.75" customHeight="1">
      <c r="A219" s="16"/>
      <c r="B219" s="16"/>
      <c r="C219" s="16"/>
      <c r="D219" s="16" t="s">
        <v>216</v>
      </c>
      <c r="E219" s="17">
        <v>41.6232320020964</v>
      </c>
      <c r="F219" s="16">
        <f>Tabelle1!E218-Hoja1!E219</f>
        <v>-41.88616767</v>
      </c>
      <c r="G219" s="16">
        <f t="shared" si="1"/>
        <v>41.88616767</v>
      </c>
      <c r="H219" s="16"/>
      <c r="I219" s="17">
        <v>57.039999999979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ht="15.75" customHeight="1">
      <c r="A220" s="16"/>
      <c r="B220" s="16"/>
      <c r="C220" s="16"/>
      <c r="D220" s="16" t="s">
        <v>217</v>
      </c>
      <c r="E220" s="17">
        <v>15.6620858725198</v>
      </c>
      <c r="F220" s="16">
        <f>Tabelle1!E219-Hoja1!E220</f>
        <v>-15.68785504</v>
      </c>
      <c r="G220" s="16">
        <f t="shared" si="1"/>
        <v>15.68785504</v>
      </c>
      <c r="H220" s="16"/>
      <c r="I220" s="17">
        <v>16.1599999999743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ht="15.75" customHeight="1">
      <c r="A221" s="16"/>
      <c r="B221" s="16"/>
      <c r="C221" s="16"/>
      <c r="D221" s="16" t="s">
        <v>218</v>
      </c>
      <c r="E221" s="17">
        <v>1.22294471298458</v>
      </c>
      <c r="F221" s="16">
        <f>Tabelle1!E220-Hoja1!E221</f>
        <v>-1.082377213</v>
      </c>
      <c r="G221" s="16">
        <f t="shared" si="1"/>
        <v>1.082377213</v>
      </c>
      <c r="H221" s="16"/>
      <c r="I221" s="17">
        <v>1.10000000003492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ht="15.75" customHeight="1">
      <c r="A222" s="16"/>
      <c r="B222" s="16"/>
      <c r="C222" s="16"/>
      <c r="D222" s="16" t="s">
        <v>219</v>
      </c>
      <c r="E222" s="17">
        <v>0.0</v>
      </c>
      <c r="F222" s="16">
        <f>Tabelle1!E221-Hoja1!E222</f>
        <v>0.14902496</v>
      </c>
      <c r="G222" s="16">
        <f t="shared" si="1"/>
        <v>0.14902496</v>
      </c>
      <c r="H222" s="16"/>
      <c r="I222" s="17">
        <v>0.0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ht="15.75" customHeight="1">
      <c r="A223" s="16"/>
      <c r="B223" s="16"/>
      <c r="C223" s="16"/>
      <c r="D223" s="16" t="s">
        <v>220</v>
      </c>
      <c r="E223" s="17">
        <v>0.0</v>
      </c>
      <c r="F223" s="16">
        <f>Tabelle1!E222-Hoja1!E223</f>
        <v>0.14902496</v>
      </c>
      <c r="G223" s="16">
        <f t="shared" si="1"/>
        <v>0.14902496</v>
      </c>
      <c r="H223" s="16"/>
      <c r="I223" s="17">
        <v>0.0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ht="15.75" customHeight="1">
      <c r="A224" s="16"/>
      <c r="B224" s="16"/>
      <c r="C224" s="16"/>
      <c r="D224" s="16" t="s">
        <v>221</v>
      </c>
      <c r="E224" s="17">
        <v>0.0</v>
      </c>
      <c r="F224" s="16">
        <f>Tabelle1!E223-Hoja1!E224</f>
        <v>0.07803707</v>
      </c>
      <c r="G224" s="16">
        <f t="shared" si="1"/>
        <v>0.07803707</v>
      </c>
      <c r="H224" s="16"/>
      <c r="I224" s="17">
        <v>0.0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15.75" customHeight="1">
      <c r="A225" s="16"/>
      <c r="B225" s="16"/>
      <c r="C225" s="16"/>
      <c r="D225" s="16" t="s">
        <v>222</v>
      </c>
      <c r="E225" s="17">
        <v>0.0</v>
      </c>
      <c r="F225" s="16">
        <f>Tabelle1!E224-Hoja1!E225</f>
        <v>0.07803707</v>
      </c>
      <c r="G225" s="16">
        <f t="shared" si="1"/>
        <v>0.07803707</v>
      </c>
      <c r="H225" s="16"/>
      <c r="I225" s="17">
        <v>0.0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15.75" customHeight="1">
      <c r="A226" s="16"/>
      <c r="B226" s="16"/>
      <c r="C226" s="16"/>
      <c r="D226" s="16" t="s">
        <v>223</v>
      </c>
      <c r="E226" s="17">
        <v>0.0</v>
      </c>
      <c r="F226" s="16">
        <f>Tabelle1!E225-Hoja1!E226</f>
        <v>0.07803707</v>
      </c>
      <c r="G226" s="16">
        <f t="shared" si="1"/>
        <v>0.07803707</v>
      </c>
      <c r="H226" s="16"/>
      <c r="I226" s="17">
        <v>0.0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15.75" customHeight="1">
      <c r="A227" s="16"/>
      <c r="B227" s="16"/>
      <c r="C227" s="16"/>
      <c r="D227" s="16" t="s">
        <v>224</v>
      </c>
      <c r="E227" s="17">
        <v>0.0</v>
      </c>
      <c r="F227" s="20">
        <f>Tabelle1!E226-Hoja1!E227</f>
        <v>0.07803707</v>
      </c>
      <c r="G227" s="16">
        <f t="shared" si="1"/>
        <v>0.07803707</v>
      </c>
      <c r="H227" s="16"/>
      <c r="I227" s="17">
        <v>0.0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15.75" customHeight="1">
      <c r="A228" s="16"/>
      <c r="B228" s="16"/>
      <c r="C228" s="16"/>
      <c r="D228" s="16" t="s">
        <v>225</v>
      </c>
      <c r="E228" s="17">
        <v>0.0</v>
      </c>
      <c r="F228" s="20">
        <f>Tabelle1!E227-Hoja1!E228</f>
        <v>0.07803707</v>
      </c>
      <c r="G228" s="16">
        <f t="shared" si="1"/>
        <v>0.07803707</v>
      </c>
      <c r="H228" s="16"/>
      <c r="I228" s="17">
        <v>0.0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15.75" customHeight="1">
      <c r="A229" s="16"/>
      <c r="B229" s="16"/>
      <c r="C229" s="16"/>
      <c r="D229" s="16" t="s">
        <v>226</v>
      </c>
      <c r="E229" s="17">
        <v>0.0</v>
      </c>
      <c r="F229" s="20">
        <f>Tabelle1!E228-Hoja1!E229</f>
        <v>0.07803707</v>
      </c>
      <c r="G229" s="16">
        <f t="shared" si="1"/>
        <v>0.07803707</v>
      </c>
      <c r="H229" s="16"/>
      <c r="I229" s="17">
        <v>0.0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15.75" customHeight="1">
      <c r="A230" s="16"/>
      <c r="B230" s="16"/>
      <c r="C230" s="16"/>
      <c r="D230" s="16" t="s">
        <v>227</v>
      </c>
      <c r="E230" s="17">
        <v>0.0</v>
      </c>
      <c r="F230" s="20">
        <f>Tabelle1!E229-Hoja1!E230</f>
        <v>0.07803707</v>
      </c>
      <c r="G230" s="16">
        <f t="shared" si="1"/>
        <v>0.07803707</v>
      </c>
      <c r="H230" s="16"/>
      <c r="I230" s="17">
        <v>0.0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15.75" customHeight="1">
      <c r="A231" s="16"/>
      <c r="B231" s="16"/>
      <c r="C231" s="16"/>
      <c r="D231" s="16" t="s">
        <v>228</v>
      </c>
      <c r="E231" s="17">
        <v>0.0</v>
      </c>
      <c r="F231" s="20">
        <f>Tabelle1!E230-Hoja1!E231</f>
        <v>0.07803707</v>
      </c>
      <c r="G231" s="16">
        <f t="shared" si="1"/>
        <v>0.07803707</v>
      </c>
      <c r="H231" s="16"/>
      <c r="I231" s="17">
        <v>0.0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15.75" customHeight="1">
      <c r="A232" s="16"/>
      <c r="B232" s="16"/>
      <c r="C232" s="16"/>
      <c r="D232" s="16" t="s">
        <v>229</v>
      </c>
      <c r="E232" s="17">
        <v>0.0</v>
      </c>
      <c r="F232" s="16">
        <f>Tabelle1!E231-Hoja1!E232</f>
        <v>0.07803707</v>
      </c>
      <c r="G232" s="16">
        <f t="shared" si="1"/>
        <v>0.07803707</v>
      </c>
      <c r="H232" s="16"/>
      <c r="I232" s="17">
        <v>0.169999999983701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ht="15.75" customHeight="1">
      <c r="A233" s="16"/>
      <c r="B233" s="16"/>
      <c r="C233" s="16"/>
      <c r="D233" s="16" t="s">
        <v>230</v>
      </c>
      <c r="E233" s="17">
        <v>6.01390120894043</v>
      </c>
      <c r="F233" s="21">
        <f>Tabelle1!E232-Hoja1!E233</f>
        <v>-5.846439709</v>
      </c>
      <c r="G233" s="16">
        <f t="shared" si="1"/>
        <v>5.846439709</v>
      </c>
      <c r="H233" s="16"/>
      <c r="I233" s="17">
        <v>6.20999999996274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ht="15.75" customHeight="1">
      <c r="A234" s="16"/>
      <c r="B234" s="16"/>
      <c r="C234" s="16"/>
      <c r="D234" s="16" t="s">
        <v>231</v>
      </c>
      <c r="E234" s="17">
        <v>37.3953735632678</v>
      </c>
      <c r="F234" s="21">
        <f>Tabelle1!E233-Hoja1!E234</f>
        <v>-37.75382986</v>
      </c>
      <c r="G234" s="16">
        <f t="shared" si="1"/>
        <v>37.75382986</v>
      </c>
      <c r="H234" s="16"/>
      <c r="I234" s="17">
        <v>38.7300000000395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ht="15.75" customHeight="1">
      <c r="A235" s="16"/>
      <c r="B235" s="16"/>
      <c r="C235" s="16"/>
      <c r="D235" s="16" t="s">
        <v>232</v>
      </c>
      <c r="E235" s="17">
        <v>83.4107524093407</v>
      </c>
      <c r="F235" s="21">
        <f>Tabelle1!E234-Hoja1!E235</f>
        <v>-84.16660118</v>
      </c>
      <c r="G235" s="16">
        <f t="shared" si="1"/>
        <v>84.16660118</v>
      </c>
      <c r="H235" s="16"/>
      <c r="I235" s="17">
        <v>83.7600000000093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ht="15.75" customHeight="1">
      <c r="A236" s="16"/>
      <c r="B236" s="16"/>
      <c r="C236" s="16"/>
      <c r="D236" s="16" t="s">
        <v>233</v>
      </c>
      <c r="E236" s="17">
        <v>114.532746594921</v>
      </c>
      <c r="F236" s="21">
        <f>Tabelle1!E235-Hoja1!E236</f>
        <v>-115.2885954</v>
      </c>
      <c r="G236" s="16">
        <f t="shared" si="1"/>
        <v>115.2885954</v>
      </c>
      <c r="H236" s="16"/>
      <c r="I236" s="17">
        <v>117.469999999972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ht="15.75" customHeight="1">
      <c r="A237" s="16"/>
      <c r="B237" s="16"/>
      <c r="C237" s="16"/>
      <c r="D237" s="16" t="s">
        <v>234</v>
      </c>
      <c r="E237" s="17">
        <v>127.036414056088</v>
      </c>
      <c r="F237" s="21">
        <f>Tabelle1!E236-Hoja1!E237</f>
        <v>-127.7922628</v>
      </c>
      <c r="G237" s="16">
        <f t="shared" si="1"/>
        <v>127.7922628</v>
      </c>
      <c r="H237" s="16"/>
      <c r="I237" s="17">
        <v>131.71000000002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ht="15.75" customHeight="1">
      <c r="A238" s="16"/>
      <c r="B238" s="16"/>
      <c r="C238" s="16"/>
      <c r="D238" s="16" t="s">
        <v>235</v>
      </c>
      <c r="E238" s="17">
        <v>127.416919888915</v>
      </c>
      <c r="F238" s="21">
        <f>Tabelle1!E237-Hoja1!E238</f>
        <v>-128.1727687</v>
      </c>
      <c r="G238" s="16">
        <f t="shared" si="1"/>
        <v>128.1727687</v>
      </c>
      <c r="H238" s="16"/>
      <c r="I238" s="17">
        <v>113.01999999996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ht="15.75" customHeight="1">
      <c r="A239" s="16"/>
      <c r="B239" s="16"/>
      <c r="C239" s="16"/>
      <c r="D239" s="16" t="s">
        <v>236</v>
      </c>
      <c r="E239" s="17">
        <v>124.665679572715</v>
      </c>
      <c r="F239" s="21">
        <f>Tabelle1!E238-Hoja1!E239</f>
        <v>-125.4215283</v>
      </c>
      <c r="G239" s="16">
        <f t="shared" si="1"/>
        <v>125.4215283</v>
      </c>
      <c r="H239" s="16"/>
      <c r="I239" s="17">
        <v>119.190000000002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ht="15.75" customHeight="1">
      <c r="A240" s="16"/>
      <c r="B240" s="16"/>
      <c r="C240" s="16"/>
      <c r="D240" s="16" t="s">
        <v>237</v>
      </c>
      <c r="E240" s="17">
        <v>119.185352042772</v>
      </c>
      <c r="F240" s="21">
        <f>Tabelle1!E239-Hoja1!E240</f>
        <v>-119.9412008</v>
      </c>
      <c r="G240" s="16">
        <f t="shared" si="1"/>
        <v>119.9412008</v>
      </c>
      <c r="H240" s="16"/>
      <c r="I240" s="17">
        <v>122.900000000023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ht="15.75" customHeight="1">
      <c r="A241" s="16"/>
      <c r="B241" s="16"/>
      <c r="C241" s="16"/>
      <c r="D241" s="16" t="s">
        <v>238</v>
      </c>
      <c r="E241" s="17">
        <v>109.379358924371</v>
      </c>
      <c r="F241" s="21">
        <f>Tabelle1!E240-Hoja1!E241</f>
        <v>-110.1352077</v>
      </c>
      <c r="G241" s="16">
        <f t="shared" si="1"/>
        <v>110.1352077</v>
      </c>
      <c r="H241" s="16"/>
      <c r="I241" s="17">
        <v>115.159999999974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ht="15.75" customHeight="1">
      <c r="A242" s="16"/>
      <c r="B242" s="16"/>
      <c r="C242" s="16"/>
      <c r="D242" s="16" t="s">
        <v>239</v>
      </c>
      <c r="E242" s="17">
        <v>80.3402062434062</v>
      </c>
      <c r="F242" s="21">
        <f>Tabelle1!E241-Hoja1!E242</f>
        <v>-81.00562794</v>
      </c>
      <c r="G242" s="16">
        <f t="shared" si="1"/>
        <v>81.00562794</v>
      </c>
      <c r="H242" s="16"/>
      <c r="I242" s="17">
        <v>94.0500000000465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ht="15.75" customHeight="1">
      <c r="A243" s="16"/>
      <c r="B243" s="16"/>
      <c r="C243" s="16"/>
      <c r="D243" s="16" t="s">
        <v>240</v>
      </c>
      <c r="E243" s="17">
        <v>41.1562193793157</v>
      </c>
      <c r="F243" s="16">
        <f>Tabelle1!E242-Hoja1!E243</f>
        <v>-41.41915505</v>
      </c>
      <c r="G243" s="16">
        <f t="shared" si="1"/>
        <v>41.41915505</v>
      </c>
      <c r="H243" s="16"/>
      <c r="I243" s="17">
        <v>55.5199999999604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ht="15.75" customHeight="1">
      <c r="A244" s="16"/>
      <c r="B244" s="16"/>
      <c r="C244" s="16"/>
      <c r="D244" s="16" t="s">
        <v>241</v>
      </c>
      <c r="E244" s="17">
        <v>15.475959790253</v>
      </c>
      <c r="F244" s="16">
        <f>Tabelle1!E243-Hoja1!E244</f>
        <v>-15.50172896</v>
      </c>
      <c r="G244" s="16">
        <f t="shared" si="1"/>
        <v>15.50172896</v>
      </c>
      <c r="H244" s="16"/>
      <c r="I244" s="17">
        <v>15.2700000000186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ht="15.75" customHeight="1">
      <c r="A245" s="16"/>
      <c r="B245" s="16"/>
      <c r="C245" s="16"/>
      <c r="D245" s="16" t="s">
        <v>242</v>
      </c>
      <c r="E245" s="17">
        <v>0.0</v>
      </c>
      <c r="F245" s="16">
        <f>Tabelle1!E244-Hoja1!E245</f>
        <v>0.1405675</v>
      </c>
      <c r="G245" s="16">
        <f t="shared" si="1"/>
        <v>0.1405675</v>
      </c>
      <c r="H245" s="16"/>
      <c r="I245" s="17">
        <v>0.96999999997206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ht="15.75" customHeight="1">
      <c r="A246" s="16"/>
      <c r="B246" s="16"/>
      <c r="C246" s="16"/>
      <c r="D246" s="16" t="s">
        <v>243</v>
      </c>
      <c r="E246" s="17">
        <v>0.0</v>
      </c>
      <c r="F246" s="16">
        <f>Tabelle1!E245-Hoja1!E246</f>
        <v>0.14902496</v>
      </c>
      <c r="G246" s="16">
        <f t="shared" si="1"/>
        <v>0.14902496</v>
      </c>
      <c r="H246" s="16"/>
      <c r="I246" s="17">
        <v>0.0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ht="15.75" customHeight="1">
      <c r="A247" s="16"/>
      <c r="B247" s="16"/>
      <c r="C247" s="16"/>
      <c r="D247" s="16" t="s">
        <v>244</v>
      </c>
      <c r="E247" s="17">
        <v>0.0</v>
      </c>
      <c r="F247" s="16">
        <f>Tabelle1!E246-Hoja1!E247</f>
        <v>0.14902496</v>
      </c>
      <c r="G247" s="16">
        <f t="shared" si="1"/>
        <v>0.14902496</v>
      </c>
      <c r="H247" s="16"/>
      <c r="I247" s="17">
        <v>0.0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ht="15.75" customHeight="1">
      <c r="A248" s="16"/>
      <c r="B248" s="16"/>
      <c r="C248" s="16"/>
      <c r="D248" s="16" t="s">
        <v>245</v>
      </c>
      <c r="E248" s="17">
        <v>0.0</v>
      </c>
      <c r="F248" s="16">
        <f>Tabelle1!E247-Hoja1!E248</f>
        <v>0.07803707</v>
      </c>
      <c r="G248" s="16">
        <f t="shared" si="1"/>
        <v>0.07803707</v>
      </c>
      <c r="H248" s="16"/>
      <c r="I248" s="17">
        <v>0.0699999999487772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ht="15.75" customHeight="1">
      <c r="A249" s="16"/>
      <c r="B249" s="16"/>
      <c r="C249" s="16"/>
      <c r="D249" s="16" t="s">
        <v>246</v>
      </c>
      <c r="E249" s="17">
        <v>0.0</v>
      </c>
      <c r="F249" s="16">
        <f>Tabelle1!E248-Hoja1!E249</f>
        <v>0.07803707</v>
      </c>
      <c r="G249" s="16">
        <f t="shared" si="1"/>
        <v>0.07803707</v>
      </c>
      <c r="H249" s="16"/>
      <c r="I249" s="17">
        <v>0.0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ht="15.75" customHeight="1">
      <c r="A250" s="16"/>
      <c r="B250" s="16"/>
      <c r="C250" s="16"/>
      <c r="D250" s="16" t="s">
        <v>247</v>
      </c>
      <c r="E250" s="17">
        <v>0.0</v>
      </c>
      <c r="F250" s="20">
        <f>Tabelle1!E249-Hoja1!E250</f>
        <v>0.07803707</v>
      </c>
      <c r="G250" s="16">
        <f t="shared" si="1"/>
        <v>0.07803707</v>
      </c>
      <c r="H250" s="16"/>
      <c r="I250" s="17">
        <v>0.0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ht="15.75" customHeight="1">
      <c r="A251" s="16"/>
      <c r="B251" s="16"/>
      <c r="C251" s="16"/>
      <c r="D251" s="16" t="s">
        <v>248</v>
      </c>
      <c r="E251" s="17">
        <v>0.0</v>
      </c>
      <c r="F251" s="20">
        <f>Tabelle1!E250-Hoja1!E251</f>
        <v>0.07803707</v>
      </c>
      <c r="G251" s="16">
        <f t="shared" si="1"/>
        <v>0.07803707</v>
      </c>
      <c r="H251" s="16"/>
      <c r="I251" s="17">
        <v>0.0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ht="15.75" customHeight="1">
      <c r="A252" s="16"/>
      <c r="B252" s="16"/>
      <c r="C252" s="16"/>
      <c r="D252" s="16" t="s">
        <v>249</v>
      </c>
      <c r="E252" s="17">
        <v>0.0</v>
      </c>
      <c r="F252" s="20">
        <f>Tabelle1!E251-Hoja1!E252</f>
        <v>0.07803707</v>
      </c>
      <c r="G252" s="16">
        <f t="shared" si="1"/>
        <v>0.07803707</v>
      </c>
      <c r="H252" s="16"/>
      <c r="I252" s="17">
        <v>0.0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ht="15.75" customHeight="1">
      <c r="A253" s="16"/>
      <c r="B253" s="16"/>
      <c r="C253" s="16"/>
      <c r="D253" s="16" t="s">
        <v>250</v>
      </c>
      <c r="E253" s="17">
        <v>0.0</v>
      </c>
      <c r="F253" s="20">
        <f>Tabelle1!E252-Hoja1!E253</f>
        <v>0.07803707</v>
      </c>
      <c r="G253" s="16">
        <f t="shared" si="1"/>
        <v>0.07803707</v>
      </c>
      <c r="H253" s="16"/>
      <c r="I253" s="17">
        <v>0.0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ht="15.75" customHeight="1">
      <c r="A254" s="16"/>
      <c r="B254" s="16"/>
      <c r="C254" s="16"/>
      <c r="D254" s="16" t="s">
        <v>251</v>
      </c>
      <c r="E254" s="17">
        <v>0.0</v>
      </c>
      <c r="F254" s="20">
        <f>Tabelle1!E253-Hoja1!E254</f>
        <v>0.07803707</v>
      </c>
      <c r="G254" s="16">
        <f t="shared" si="1"/>
        <v>0.07803707</v>
      </c>
      <c r="H254" s="16"/>
      <c r="I254" s="17">
        <v>0.0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ht="15.75" customHeight="1">
      <c r="A255" s="16"/>
      <c r="B255" s="16"/>
      <c r="C255" s="16"/>
      <c r="D255" s="16" t="s">
        <v>252</v>
      </c>
      <c r="E255" s="17">
        <v>0.0</v>
      </c>
      <c r="F255" s="20">
        <f>Tabelle1!E254-Hoja1!E255</f>
        <v>0.07803707</v>
      </c>
      <c r="G255" s="16">
        <f t="shared" si="1"/>
        <v>0.07803707</v>
      </c>
      <c r="H255" s="16"/>
      <c r="I255" s="17">
        <v>0.0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ht="15.75" customHeight="1">
      <c r="A256" s="16"/>
      <c r="B256" s="16"/>
      <c r="C256" s="16"/>
      <c r="D256" s="16" t="s">
        <v>253</v>
      </c>
      <c r="E256" s="17">
        <v>0.0</v>
      </c>
      <c r="F256" s="16">
        <f>Tabelle1!E255-Hoja1!E256</f>
        <v>0.07803707</v>
      </c>
      <c r="G256" s="16">
        <f t="shared" si="1"/>
        <v>0.07803707</v>
      </c>
      <c r="H256" s="16"/>
      <c r="I256" s="17">
        <v>0.0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ht="15.75" customHeight="1">
      <c r="A257" s="16"/>
      <c r="B257" s="16"/>
      <c r="C257" s="16"/>
      <c r="D257" s="16" t="s">
        <v>254</v>
      </c>
      <c r="E257" s="17">
        <v>5.33038719144322</v>
      </c>
      <c r="F257" s="21">
        <f>Tabelle1!E256-Hoja1!E257</f>
        <v>-5.162925691</v>
      </c>
      <c r="G257" s="16">
        <f t="shared" si="1"/>
        <v>5.162925691</v>
      </c>
      <c r="H257" s="16"/>
      <c r="I257" s="17">
        <v>0.0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ht="15.75" customHeight="1">
      <c r="A258" s="16"/>
      <c r="B258" s="16"/>
      <c r="C258" s="16"/>
      <c r="D258" s="16" t="s">
        <v>255</v>
      </c>
      <c r="E258" s="17">
        <v>37.0963251576851</v>
      </c>
      <c r="F258" s="21">
        <f>Tabelle1!E257-Hoja1!E258</f>
        <v>-37.45478146</v>
      </c>
      <c r="G258" s="16">
        <f t="shared" si="1"/>
        <v>37.45478146</v>
      </c>
      <c r="H258" s="16"/>
      <c r="I258" s="17">
        <v>0.0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ht="15.75" customHeight="1">
      <c r="A259" s="16"/>
      <c r="B259" s="16"/>
      <c r="C259" s="16"/>
      <c r="D259" s="16" t="s">
        <v>256</v>
      </c>
      <c r="E259" s="17">
        <v>83.8578424262695</v>
      </c>
      <c r="F259" s="21">
        <f>Tabelle1!E258-Hoja1!E259</f>
        <v>-84.6136912</v>
      </c>
      <c r="G259" s="16">
        <f t="shared" si="1"/>
        <v>84.6136912</v>
      </c>
      <c r="H259" s="16"/>
      <c r="I259" s="17">
        <v>0.0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ht="15.75" customHeight="1">
      <c r="A260" s="16"/>
      <c r="B260" s="16"/>
      <c r="C260" s="16"/>
      <c r="D260" s="16" t="s">
        <v>257</v>
      </c>
      <c r="E260" s="17">
        <v>113.240582204493</v>
      </c>
      <c r="F260" s="21">
        <f>Tabelle1!E259-Hoja1!E260</f>
        <v>-113.996431</v>
      </c>
      <c r="G260" s="16">
        <f t="shared" si="1"/>
        <v>113.996431</v>
      </c>
      <c r="H260" s="16"/>
      <c r="I260" s="17">
        <v>0.0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ht="15.75" customHeight="1">
      <c r="A261" s="16"/>
      <c r="B261" s="16"/>
      <c r="C261" s="16"/>
      <c r="D261" s="16" t="s">
        <v>258</v>
      </c>
      <c r="E261" s="17">
        <v>130.416082596995</v>
      </c>
      <c r="F261" s="21">
        <f>Tabelle1!E260-Hoja1!E261</f>
        <v>-131.1719314</v>
      </c>
      <c r="G261" s="16">
        <f t="shared" si="1"/>
        <v>131.1719314</v>
      </c>
      <c r="H261" s="16"/>
      <c r="I261" s="17">
        <v>0.0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ht="15.75" customHeight="1">
      <c r="A262" s="16"/>
      <c r="B262" s="16"/>
      <c r="C262" s="16"/>
      <c r="D262" s="16" t="s">
        <v>259</v>
      </c>
      <c r="E262" s="17">
        <v>125.48322020024</v>
      </c>
      <c r="F262" s="21">
        <f>Tabelle1!E261-Hoja1!E262</f>
        <v>-126.239069</v>
      </c>
      <c r="G262" s="16">
        <f t="shared" si="1"/>
        <v>126.239069</v>
      </c>
      <c r="H262" s="16"/>
      <c r="I262" s="17">
        <v>0.0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ht="15.75" customHeight="1">
      <c r="A263" s="16"/>
      <c r="B263" s="16"/>
      <c r="C263" s="16"/>
      <c r="D263" s="16" t="s">
        <v>260</v>
      </c>
      <c r="E263" s="17">
        <v>122.555025413782</v>
      </c>
      <c r="F263" s="21">
        <f>Tabelle1!E262-Hoja1!E263</f>
        <v>-123.3108742</v>
      </c>
      <c r="G263" s="16">
        <f t="shared" si="1"/>
        <v>123.3108742</v>
      </c>
      <c r="H263" s="16"/>
      <c r="I263" s="17">
        <v>0.0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ht="15.75" customHeight="1">
      <c r="A264" s="16"/>
      <c r="B264" s="16"/>
      <c r="C264" s="16"/>
      <c r="D264" s="16" t="s">
        <v>261</v>
      </c>
      <c r="E264" s="17">
        <v>121.060688460007</v>
      </c>
      <c r="F264" s="21">
        <f>Tabelle1!E263-Hoja1!E264</f>
        <v>-121.8165372</v>
      </c>
      <c r="G264" s="16">
        <f t="shared" si="1"/>
        <v>121.8165372</v>
      </c>
      <c r="H264" s="16"/>
      <c r="I264" s="17">
        <v>0.0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ht="15.75" customHeight="1">
      <c r="A265" s="16"/>
      <c r="B265" s="16"/>
      <c r="C265" s="16"/>
      <c r="D265" s="16" t="s">
        <v>262</v>
      </c>
      <c r="E265" s="17">
        <v>107.767784711336</v>
      </c>
      <c r="F265" s="21">
        <f>Tabelle1!E264-Hoja1!E265</f>
        <v>-108.5236335</v>
      </c>
      <c r="G265" s="16">
        <f t="shared" si="1"/>
        <v>108.5236335</v>
      </c>
      <c r="H265" s="16"/>
      <c r="I265" s="17">
        <v>0.0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ht="15.75" customHeight="1">
      <c r="A266" s="16"/>
      <c r="B266" s="16"/>
      <c r="C266" s="16"/>
      <c r="D266" s="16" t="s">
        <v>263</v>
      </c>
      <c r="E266" s="17">
        <v>80.4688676720643</v>
      </c>
      <c r="F266" s="21">
        <f>Tabelle1!E265-Hoja1!E266</f>
        <v>-81.13428937</v>
      </c>
      <c r="G266" s="16">
        <f t="shared" si="1"/>
        <v>81.13428937</v>
      </c>
      <c r="H266" s="16"/>
      <c r="I266" s="17">
        <v>0.0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ht="15.75" customHeight="1">
      <c r="A267" s="16"/>
      <c r="B267" s="16"/>
      <c r="C267" s="16"/>
      <c r="D267" s="16" t="s">
        <v>264</v>
      </c>
      <c r="E267" s="17">
        <v>36.465963542744</v>
      </c>
      <c r="F267" s="16">
        <f>Tabelle1!E266-Hoja1!E267</f>
        <v>-36.72889921</v>
      </c>
      <c r="G267" s="16">
        <f t="shared" si="1"/>
        <v>36.72889921</v>
      </c>
      <c r="H267" s="16"/>
      <c r="I267" s="17">
        <v>0.0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ht="15.75" customHeight="1">
      <c r="A268" s="16"/>
      <c r="B268" s="16"/>
      <c r="C268" s="16"/>
      <c r="D268" s="16" t="s">
        <v>265</v>
      </c>
      <c r="E268" s="17">
        <v>15.1218429812746</v>
      </c>
      <c r="F268" s="16">
        <f>Tabelle1!E267-Hoja1!E268</f>
        <v>-15.14761215</v>
      </c>
      <c r="G268" s="16">
        <f t="shared" si="1"/>
        <v>15.14761215</v>
      </c>
      <c r="H268" s="16"/>
      <c r="I268" s="17">
        <v>0.0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ht="15.75" customHeight="1">
      <c r="A269" s="16"/>
      <c r="B269" s="16"/>
      <c r="C269" s="16"/>
      <c r="D269" s="16" t="s">
        <v>266</v>
      </c>
      <c r="E269" s="17">
        <v>0.0</v>
      </c>
      <c r="F269" s="16">
        <f>Tabelle1!E268-Hoja1!E269</f>
        <v>0.1405675</v>
      </c>
      <c r="G269" s="16">
        <f t="shared" si="1"/>
        <v>0.1405675</v>
      </c>
      <c r="H269" s="16"/>
      <c r="I269" s="17">
        <v>0.0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ht="15.75" customHeight="1">
      <c r="A270" s="16"/>
      <c r="B270" s="16"/>
      <c r="C270" s="16"/>
      <c r="D270" s="16" t="s">
        <v>267</v>
      </c>
      <c r="E270" s="17">
        <v>0.0</v>
      </c>
      <c r="F270" s="16">
        <f>Tabelle1!E269-Hoja1!E270</f>
        <v>0.14902496</v>
      </c>
      <c r="G270" s="16">
        <f t="shared" si="1"/>
        <v>0.14902496</v>
      </c>
      <c r="H270" s="16"/>
      <c r="I270" s="17">
        <v>0.0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ht="15.75" customHeight="1">
      <c r="A271" s="16"/>
      <c r="B271" s="16"/>
      <c r="C271" s="16"/>
      <c r="D271" s="16" t="s">
        <v>268</v>
      </c>
      <c r="E271" s="17">
        <v>0.0</v>
      </c>
      <c r="F271" s="16">
        <f>Tabelle1!E270-Hoja1!E271</f>
        <v>0.14902496</v>
      </c>
      <c r="G271" s="16">
        <f t="shared" si="1"/>
        <v>0.14902496</v>
      </c>
      <c r="H271" s="16"/>
      <c r="I271" s="17">
        <v>0.0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ht="15.75" customHeight="1">
      <c r="A272" s="16"/>
      <c r="B272" s="16"/>
      <c r="C272" s="16"/>
      <c r="D272" s="16" t="s">
        <v>269</v>
      </c>
      <c r="E272" s="17">
        <v>0.0</v>
      </c>
      <c r="F272" s="20">
        <f>Tabelle1!E271-Hoja1!E272</f>
        <v>0.07803707</v>
      </c>
      <c r="G272" s="16">
        <f t="shared" si="1"/>
        <v>0.07803707</v>
      </c>
      <c r="H272" s="16"/>
      <c r="I272" s="17">
        <v>0.0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ht="15.75" customHeight="1">
      <c r="A273" s="16"/>
      <c r="B273" s="16"/>
      <c r="C273" s="16"/>
      <c r="D273" s="16" t="s">
        <v>270</v>
      </c>
      <c r="E273" s="17">
        <v>0.0</v>
      </c>
      <c r="F273" s="16">
        <f>Tabelle1!E272-Hoja1!E273</f>
        <v>0.07803707</v>
      </c>
      <c r="G273" s="16">
        <f t="shared" si="1"/>
        <v>0.07803707</v>
      </c>
      <c r="H273" s="16"/>
      <c r="I273" s="17">
        <v>0.0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ht="15.75" customHeight="1">
      <c r="A274" s="16"/>
      <c r="B274" s="16"/>
      <c r="C274" s="16"/>
      <c r="D274" s="16" t="s">
        <v>271</v>
      </c>
      <c r="E274" s="17">
        <v>0.0</v>
      </c>
      <c r="F274" s="16">
        <f>Tabelle1!E273-Hoja1!E274</f>
        <v>0.07803707</v>
      </c>
      <c r="G274" s="16">
        <f t="shared" si="1"/>
        <v>0.07803707</v>
      </c>
      <c r="H274" s="16"/>
      <c r="I274" s="17">
        <v>0.0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ht="15.75" customHeight="1">
      <c r="A275" s="16"/>
      <c r="B275" s="16"/>
      <c r="C275" s="16"/>
      <c r="D275" s="16" t="s">
        <v>272</v>
      </c>
      <c r="E275" s="17">
        <v>0.0</v>
      </c>
      <c r="F275" s="20">
        <f>Tabelle1!E274-Hoja1!E275</f>
        <v>0.07803707</v>
      </c>
      <c r="G275" s="16">
        <f t="shared" si="1"/>
        <v>0.07803707</v>
      </c>
      <c r="H275" s="16"/>
      <c r="I275" s="17">
        <v>0.0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ht="15.75" customHeight="1">
      <c r="A276" s="16"/>
      <c r="B276" s="16"/>
      <c r="C276" s="16"/>
      <c r="D276" s="16" t="s">
        <v>273</v>
      </c>
      <c r="E276" s="17">
        <v>0.0</v>
      </c>
      <c r="F276" s="20">
        <f>Tabelle1!E275-Hoja1!E276</f>
        <v>0.07803707</v>
      </c>
      <c r="G276" s="16">
        <f t="shared" si="1"/>
        <v>0.07803707</v>
      </c>
      <c r="H276" s="16"/>
      <c r="I276" s="17">
        <v>0.0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ht="15.75" customHeight="1">
      <c r="A277" s="16"/>
      <c r="B277" s="16"/>
      <c r="C277" s="16"/>
      <c r="D277" s="16" t="s">
        <v>274</v>
      </c>
      <c r="E277" s="17">
        <v>0.0</v>
      </c>
      <c r="F277" s="20">
        <f>Tabelle1!E276-Hoja1!E277</f>
        <v>0.07803707</v>
      </c>
      <c r="G277" s="16">
        <f t="shared" si="1"/>
        <v>0.07803707</v>
      </c>
      <c r="H277" s="16"/>
      <c r="I277" s="17">
        <v>0.0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ht="15.75" customHeight="1">
      <c r="A278" s="16"/>
      <c r="B278" s="16"/>
      <c r="C278" s="16"/>
      <c r="D278" s="16" t="s">
        <v>275</v>
      </c>
      <c r="E278" s="17">
        <v>0.0</v>
      </c>
      <c r="F278" s="20">
        <f>Tabelle1!E277-Hoja1!E278</f>
        <v>0.07803707</v>
      </c>
      <c r="G278" s="16">
        <f t="shared" si="1"/>
        <v>0.07803707</v>
      </c>
      <c r="H278" s="16"/>
      <c r="I278" s="17">
        <v>0.0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ht="15.75" customHeight="1">
      <c r="A279" s="16"/>
      <c r="B279" s="16"/>
      <c r="C279" s="16"/>
      <c r="D279" s="16" t="s">
        <v>276</v>
      </c>
      <c r="E279" s="17">
        <v>0.0</v>
      </c>
      <c r="F279" s="20">
        <f>Tabelle1!E278-Hoja1!E279</f>
        <v>0.07803707</v>
      </c>
      <c r="G279" s="16">
        <f t="shared" si="1"/>
        <v>0.07803707</v>
      </c>
      <c r="H279" s="16"/>
      <c r="I279" s="17">
        <v>0.0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ht="15.75" customHeight="1">
      <c r="A280" s="16"/>
      <c r="B280" s="16"/>
      <c r="C280" s="16"/>
      <c r="D280" s="16" t="s">
        <v>277</v>
      </c>
      <c r="E280" s="17">
        <v>0.0</v>
      </c>
      <c r="F280" s="16">
        <f>Tabelle1!E279-Hoja1!E280</f>
        <v>0.07803707</v>
      </c>
      <c r="G280" s="16">
        <f t="shared" si="1"/>
        <v>0.07803707</v>
      </c>
      <c r="H280" s="16"/>
      <c r="I280" s="17">
        <v>0.0700000000069849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ht="15.75" customHeight="1">
      <c r="A281" s="16"/>
      <c r="B281" s="16"/>
      <c r="C281" s="16"/>
      <c r="D281" s="16" t="s">
        <v>278</v>
      </c>
      <c r="E281" s="17">
        <v>4.91592350863212</v>
      </c>
      <c r="F281" s="21">
        <f>Tabelle1!E280-Hoja1!E281</f>
        <v>-4.748462009</v>
      </c>
      <c r="G281" s="16">
        <f t="shared" si="1"/>
        <v>4.748462009</v>
      </c>
      <c r="H281" s="16"/>
      <c r="I281" s="17">
        <v>6.97000000003026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ht="15.75" customHeight="1">
      <c r="A282" s="16"/>
      <c r="B282" s="16"/>
      <c r="C282" s="16"/>
      <c r="D282" s="16" t="s">
        <v>279</v>
      </c>
      <c r="E282" s="17">
        <v>29.1011606136567</v>
      </c>
      <c r="F282" s="21">
        <f>Tabelle1!E281-Hoja1!E282</f>
        <v>-29.45961691</v>
      </c>
      <c r="G282" s="16">
        <f t="shared" si="1"/>
        <v>29.45961691</v>
      </c>
      <c r="H282" s="16"/>
      <c r="I282" s="17">
        <v>37.5700000000069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ht="15.75" customHeight="1">
      <c r="A283" s="16"/>
      <c r="B283" s="16"/>
      <c r="C283" s="16"/>
      <c r="D283" s="16" t="s">
        <v>280</v>
      </c>
      <c r="E283" s="17">
        <v>80.986654317851</v>
      </c>
      <c r="F283" s="21">
        <f>Tabelle1!E282-Hoja1!E283</f>
        <v>-81.74250309</v>
      </c>
      <c r="G283" s="16">
        <f t="shared" si="1"/>
        <v>81.74250309</v>
      </c>
      <c r="H283" s="16"/>
      <c r="I283" s="17">
        <v>78.9599999999627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ht="15.75" customHeight="1">
      <c r="A284" s="16"/>
      <c r="B284" s="16"/>
      <c r="C284" s="16"/>
      <c r="D284" s="16" t="s">
        <v>281</v>
      </c>
      <c r="E284" s="17">
        <v>105.212325526472</v>
      </c>
      <c r="F284" s="21">
        <f>Tabelle1!E283-Hoja1!E284</f>
        <v>-105.9681743</v>
      </c>
      <c r="G284" s="16">
        <f t="shared" si="1"/>
        <v>105.9681743</v>
      </c>
      <c r="H284" s="16"/>
      <c r="I284" s="17">
        <v>108.429999999993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ht="15.75" customHeight="1">
      <c r="A285" s="16"/>
      <c r="B285" s="16"/>
      <c r="C285" s="16"/>
      <c r="D285" s="16" t="s">
        <v>282</v>
      </c>
      <c r="E285" s="17">
        <v>124.07865810351</v>
      </c>
      <c r="F285" s="21">
        <f>Tabelle1!E284-Hoja1!E285</f>
        <v>-124.8345069</v>
      </c>
      <c r="G285" s="16">
        <f t="shared" si="1"/>
        <v>124.8345069</v>
      </c>
      <c r="H285" s="16"/>
      <c r="I285" s="17">
        <v>129.100000000034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ht="15.75" customHeight="1">
      <c r="A286" s="16"/>
      <c r="B286" s="16"/>
      <c r="C286" s="16"/>
      <c r="D286" s="16" t="s">
        <v>283</v>
      </c>
      <c r="E286" s="17">
        <v>129.641121188787</v>
      </c>
      <c r="F286" s="21">
        <f>Tabelle1!E285-Hoja1!E286</f>
        <v>-130.39697</v>
      </c>
      <c r="G286" s="16">
        <f t="shared" si="1"/>
        <v>130.39697</v>
      </c>
      <c r="H286" s="16"/>
      <c r="I286" s="17">
        <v>139.200000000011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ht="15.75" customHeight="1">
      <c r="A287" s="16"/>
      <c r="B287" s="16"/>
      <c r="C287" s="16"/>
      <c r="D287" s="16" t="s">
        <v>284</v>
      </c>
      <c r="E287" s="17">
        <v>128.695183175528</v>
      </c>
      <c r="F287" s="21">
        <f>Tabelle1!E286-Hoja1!E287</f>
        <v>-129.4510319</v>
      </c>
      <c r="G287" s="16">
        <f t="shared" si="1"/>
        <v>129.4510319</v>
      </c>
      <c r="H287" s="16"/>
      <c r="I287" s="17">
        <v>138.809999999997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ht="15.75" customHeight="1">
      <c r="A288" s="16"/>
      <c r="B288" s="16"/>
      <c r="C288" s="16"/>
      <c r="D288" s="16" t="s">
        <v>285</v>
      </c>
      <c r="E288" s="17">
        <v>121.614082806259</v>
      </c>
      <c r="F288" s="21">
        <f>Tabelle1!E287-Hoja1!E288</f>
        <v>-122.3699316</v>
      </c>
      <c r="G288" s="16">
        <f t="shared" si="1"/>
        <v>122.3699316</v>
      </c>
      <c r="H288" s="16"/>
      <c r="I288" s="17">
        <v>129.159999999974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ht="15.75" customHeight="1">
      <c r="A289" s="16"/>
      <c r="B289" s="16"/>
      <c r="C289" s="16"/>
      <c r="D289" s="16" t="s">
        <v>286</v>
      </c>
      <c r="E289" s="17">
        <v>107.194808937629</v>
      </c>
      <c r="F289" s="21">
        <f>Tabelle1!E288-Hoja1!E289</f>
        <v>-107.9506577</v>
      </c>
      <c r="G289" s="16">
        <f t="shared" si="1"/>
        <v>107.9506577</v>
      </c>
      <c r="H289" s="16"/>
      <c r="I289" s="17">
        <v>113.059999999997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ht="15.75" customHeight="1">
      <c r="A290" s="16"/>
      <c r="B290" s="16"/>
      <c r="C290" s="16"/>
      <c r="D290" s="16" t="s">
        <v>287</v>
      </c>
      <c r="E290" s="17">
        <v>77.0358467922429</v>
      </c>
      <c r="F290" s="21">
        <f>Tabelle1!E289-Hoja1!E290</f>
        <v>-77.70126849</v>
      </c>
      <c r="G290" s="16">
        <f t="shared" si="1"/>
        <v>77.70126849</v>
      </c>
      <c r="H290" s="16"/>
      <c r="I290" s="17">
        <v>96.5999999999767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ht="15.75" customHeight="1">
      <c r="A291" s="16"/>
      <c r="B291" s="16"/>
      <c r="C291" s="16"/>
      <c r="D291" s="16" t="s">
        <v>288</v>
      </c>
      <c r="E291" s="17">
        <v>36.4367451635712</v>
      </c>
      <c r="F291" s="16">
        <f>Tabelle1!E290-Hoja1!E291</f>
        <v>-36.69968083</v>
      </c>
      <c r="G291" s="16">
        <f t="shared" si="1"/>
        <v>36.69968083</v>
      </c>
      <c r="H291" s="16"/>
      <c r="I291" s="17">
        <v>55.3500000000349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ht="15.75" customHeight="1">
      <c r="A292" s="16"/>
      <c r="B292" s="16"/>
      <c r="C292" s="16"/>
      <c r="D292" s="16" t="s">
        <v>289</v>
      </c>
      <c r="E292" s="17">
        <v>13.9863860214924</v>
      </c>
      <c r="F292" s="16">
        <f>Tabelle1!E291-Hoja1!E292</f>
        <v>-14.01215519</v>
      </c>
      <c r="G292" s="16">
        <f t="shared" si="1"/>
        <v>14.01215519</v>
      </c>
      <c r="H292" s="16"/>
      <c r="I292" s="17">
        <v>14.1300000000046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ht="15.75" customHeight="1">
      <c r="A293" s="16"/>
      <c r="B293" s="16"/>
      <c r="C293" s="16"/>
      <c r="D293" s="16" t="s">
        <v>290</v>
      </c>
      <c r="E293" s="17">
        <v>0.0</v>
      </c>
      <c r="F293" s="16">
        <f>Tabelle1!E292-Hoja1!E293</f>
        <v>0.1405675</v>
      </c>
      <c r="G293" s="16">
        <f t="shared" si="1"/>
        <v>0.1405675</v>
      </c>
      <c r="H293" s="16"/>
      <c r="I293" s="17">
        <v>0.690000000002328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ht="15.75" customHeight="1">
      <c r="A294" s="16"/>
      <c r="B294" s="16"/>
      <c r="C294" s="16"/>
      <c r="D294" s="16" t="s">
        <v>291</v>
      </c>
      <c r="E294" s="17">
        <v>0.0</v>
      </c>
      <c r="F294" s="16">
        <f>Tabelle1!E293-Hoja1!E294</f>
        <v>0.14902496</v>
      </c>
      <c r="G294" s="16">
        <f t="shared" si="1"/>
        <v>0.14902496</v>
      </c>
      <c r="H294" s="16"/>
      <c r="I294" s="17">
        <v>0.0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ht="15.75" customHeight="1">
      <c r="A295" s="16"/>
      <c r="B295" s="16"/>
      <c r="C295" s="16"/>
      <c r="D295" s="16" t="s">
        <v>292</v>
      </c>
      <c r="E295" s="17">
        <v>0.0</v>
      </c>
      <c r="F295" s="16">
        <f>Tabelle1!E294-Hoja1!E295</f>
        <v>0.14902496</v>
      </c>
      <c r="G295" s="16">
        <f t="shared" si="1"/>
        <v>0.14902496</v>
      </c>
      <c r="H295" s="16"/>
      <c r="I295" s="17">
        <v>0.0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ht="15.75" customHeight="1">
      <c r="A296" s="16"/>
      <c r="B296" s="16"/>
      <c r="C296" s="16"/>
      <c r="D296" s="16" t="s">
        <v>293</v>
      </c>
      <c r="E296" s="17">
        <v>0.0</v>
      </c>
      <c r="F296" s="20">
        <f>Tabelle1!E295-Hoja1!E296</f>
        <v>0.08427962</v>
      </c>
      <c r="G296" s="16">
        <f t="shared" si="1"/>
        <v>0.08427962</v>
      </c>
      <c r="H296" s="16"/>
      <c r="I296" s="17">
        <v>0.0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ht="15.75" customHeight="1">
      <c r="A297" s="16"/>
      <c r="B297" s="16"/>
      <c r="C297" s="16"/>
      <c r="D297" s="16" t="s">
        <v>294</v>
      </c>
      <c r="E297" s="17">
        <v>0.0</v>
      </c>
      <c r="F297" s="16">
        <f>Tabelle1!E296-Hoja1!E297</f>
        <v>0.08427962</v>
      </c>
      <c r="G297" s="16">
        <f t="shared" si="1"/>
        <v>0.08427962</v>
      </c>
      <c r="H297" s="16"/>
      <c r="I297" s="17">
        <v>0.0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ht="15.75" customHeight="1">
      <c r="A298" s="16"/>
      <c r="B298" s="16"/>
      <c r="C298" s="16"/>
      <c r="D298" s="16" t="s">
        <v>295</v>
      </c>
      <c r="E298" s="17">
        <v>0.0</v>
      </c>
      <c r="F298" s="16">
        <f>Tabelle1!E297-Hoja1!E298</f>
        <v>0.08427962</v>
      </c>
      <c r="G298" s="16">
        <f t="shared" si="1"/>
        <v>0.08427962</v>
      </c>
      <c r="H298" s="16"/>
      <c r="I298" s="17">
        <v>0.0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ht="15.75" customHeight="1">
      <c r="A299" s="16"/>
      <c r="B299" s="16"/>
      <c r="C299" s="16"/>
      <c r="D299" s="16" t="s">
        <v>296</v>
      </c>
      <c r="E299" s="17">
        <v>0.0</v>
      </c>
      <c r="F299" s="20">
        <f>Tabelle1!E298-Hoja1!E299</f>
        <v>0.08427962</v>
      </c>
      <c r="G299" s="16">
        <f t="shared" si="1"/>
        <v>0.08427962</v>
      </c>
      <c r="H299" s="16"/>
      <c r="I299" s="17">
        <v>0.0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ht="15.75" customHeight="1">
      <c r="A300" s="16"/>
      <c r="B300" s="16"/>
      <c r="C300" s="16"/>
      <c r="D300" s="16" t="s">
        <v>297</v>
      </c>
      <c r="E300" s="17">
        <v>0.0</v>
      </c>
      <c r="F300" s="20">
        <f>Tabelle1!E299-Hoja1!E300</f>
        <v>0.08427962</v>
      </c>
      <c r="G300" s="16">
        <f t="shared" si="1"/>
        <v>0.08427962</v>
      </c>
      <c r="H300" s="16"/>
      <c r="I300" s="17">
        <v>0.0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ht="15.75" customHeight="1">
      <c r="A301" s="16"/>
      <c r="B301" s="16"/>
      <c r="C301" s="16"/>
      <c r="D301" s="16" t="s">
        <v>298</v>
      </c>
      <c r="E301" s="17">
        <v>0.0</v>
      </c>
      <c r="F301" s="20">
        <f>Tabelle1!E300-Hoja1!E301</f>
        <v>0.08427962</v>
      </c>
      <c r="G301" s="16">
        <f t="shared" si="1"/>
        <v>0.08427962</v>
      </c>
      <c r="H301" s="16"/>
      <c r="I301" s="17">
        <v>0.0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ht="15.75" customHeight="1">
      <c r="A302" s="16"/>
      <c r="B302" s="16"/>
      <c r="C302" s="16"/>
      <c r="D302" s="16" t="s">
        <v>299</v>
      </c>
      <c r="E302" s="17">
        <v>0.0</v>
      </c>
      <c r="F302" s="20">
        <f>Tabelle1!E301-Hoja1!E302</f>
        <v>0.08427962</v>
      </c>
      <c r="G302" s="16">
        <f t="shared" si="1"/>
        <v>0.08427962</v>
      </c>
      <c r="H302" s="16"/>
      <c r="I302" s="17">
        <v>0.0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ht="15.75" customHeight="1">
      <c r="A303" s="16"/>
      <c r="B303" s="16"/>
      <c r="C303" s="16"/>
      <c r="D303" s="16" t="s">
        <v>300</v>
      </c>
      <c r="E303" s="17">
        <v>0.0</v>
      </c>
      <c r="F303" s="20">
        <f>Tabelle1!E302-Hoja1!E303</f>
        <v>0.08427962</v>
      </c>
      <c r="G303" s="16">
        <f t="shared" si="1"/>
        <v>0.08427962</v>
      </c>
      <c r="H303" s="16"/>
      <c r="I303" s="17">
        <v>0.0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ht="15.75" customHeight="1">
      <c r="A304" s="16"/>
      <c r="B304" s="16"/>
      <c r="C304" s="16"/>
      <c r="D304" s="16" t="s">
        <v>301</v>
      </c>
      <c r="E304" s="17">
        <v>0.0</v>
      </c>
      <c r="F304" s="16">
        <f>Tabelle1!E303-Hoja1!E304</f>
        <v>0.08427962</v>
      </c>
      <c r="G304" s="16">
        <f t="shared" si="1"/>
        <v>0.08427962</v>
      </c>
      <c r="H304" s="16"/>
      <c r="I304" s="17">
        <v>0.10999999998603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ht="15.75" customHeight="1">
      <c r="A305" s="16"/>
      <c r="B305" s="16"/>
      <c r="C305" s="16"/>
      <c r="D305" s="16" t="s">
        <v>302</v>
      </c>
      <c r="E305" s="17">
        <v>5.33038719144322</v>
      </c>
      <c r="F305" s="21">
        <f>Tabelle1!E304-Hoja1!E305</f>
        <v>-5.156683131</v>
      </c>
      <c r="G305" s="16">
        <f t="shared" si="1"/>
        <v>5.156683131</v>
      </c>
      <c r="H305" s="16"/>
      <c r="I305" s="17">
        <v>5.63000000000465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ht="15.75" customHeight="1">
      <c r="A306" s="16"/>
      <c r="B306" s="16"/>
      <c r="C306" s="16"/>
      <c r="D306" s="16" t="s">
        <v>303</v>
      </c>
      <c r="E306" s="17">
        <v>36.3886471131071</v>
      </c>
      <c r="F306" s="21">
        <f>Tabelle1!E305-Hoja1!E306</f>
        <v>-36.68921945</v>
      </c>
      <c r="G306" s="16">
        <f t="shared" si="1"/>
        <v>36.68921945</v>
      </c>
      <c r="H306" s="16"/>
      <c r="I306" s="17">
        <v>39.75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ht="15.75" customHeight="1">
      <c r="A307" s="16"/>
      <c r="B307" s="16"/>
      <c r="C307" s="16"/>
      <c r="D307" s="16" t="s">
        <v>304</v>
      </c>
      <c r="E307" s="17">
        <v>85.9431568101175</v>
      </c>
      <c r="F307" s="21">
        <f>Tabelle1!E306-Hoja1!E307</f>
        <v>-86.62833201</v>
      </c>
      <c r="G307" s="16">
        <f t="shared" si="1"/>
        <v>86.62833201</v>
      </c>
      <c r="H307" s="16"/>
      <c r="I307" s="17">
        <v>87.75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ht="15.75" customHeight="1">
      <c r="A308" s="16"/>
      <c r="B308" s="16"/>
      <c r="C308" s="16"/>
      <c r="D308" s="16" t="s">
        <v>305</v>
      </c>
      <c r="E308" s="17">
        <v>115.933575899667</v>
      </c>
      <c r="F308" s="21">
        <f>Tabelle1!E307-Hoja1!E308</f>
        <v>-116.6187511</v>
      </c>
      <c r="G308" s="16">
        <f t="shared" si="1"/>
        <v>116.6187511</v>
      </c>
      <c r="H308" s="16"/>
      <c r="I308" s="17">
        <v>126.089999999967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ht="15.75" customHeight="1">
      <c r="A309" s="16"/>
      <c r="B309" s="16"/>
      <c r="C309" s="16"/>
      <c r="D309" s="16" t="s">
        <v>306</v>
      </c>
      <c r="E309" s="17">
        <v>135.264077648247</v>
      </c>
      <c r="F309" s="21">
        <f>Tabelle1!E308-Hoja1!E309</f>
        <v>-135.9492528</v>
      </c>
      <c r="G309" s="16">
        <f t="shared" si="1"/>
        <v>135.9492528</v>
      </c>
      <c r="H309" s="16"/>
      <c r="I309" s="17">
        <v>144.390000000013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ht="15.75" customHeight="1">
      <c r="A310" s="16"/>
      <c r="B310" s="16"/>
      <c r="C310" s="16"/>
      <c r="D310" s="16" t="s">
        <v>307</v>
      </c>
      <c r="E310" s="17">
        <v>136.76200271918</v>
      </c>
      <c r="F310" s="21">
        <f>Tabelle1!E309-Hoja1!E310</f>
        <v>-137.4471779</v>
      </c>
      <c r="G310" s="16">
        <f t="shared" si="1"/>
        <v>137.4471779</v>
      </c>
      <c r="H310" s="16"/>
      <c r="I310" s="17">
        <v>141.510000000009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ht="15.75" customHeight="1">
      <c r="A311" s="16"/>
      <c r="B311" s="16"/>
      <c r="C311" s="16"/>
      <c r="D311" s="16" t="s">
        <v>308</v>
      </c>
      <c r="E311" s="17">
        <v>131.833037904202</v>
      </c>
      <c r="F311" s="21">
        <f>Tabelle1!E310-Hoja1!E311</f>
        <v>-132.5182131</v>
      </c>
      <c r="G311" s="16">
        <f t="shared" si="1"/>
        <v>132.5182131</v>
      </c>
      <c r="H311" s="16"/>
      <c r="I311" s="17">
        <v>148.109999999986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ht="15.75" customHeight="1">
      <c r="A312" s="16"/>
      <c r="B312" s="16"/>
      <c r="C312" s="16"/>
      <c r="D312" s="16" t="s">
        <v>309</v>
      </c>
      <c r="E312" s="17">
        <v>127.474443962749</v>
      </c>
      <c r="F312" s="21">
        <f>Tabelle1!E311-Hoja1!E312</f>
        <v>-128.1596192</v>
      </c>
      <c r="G312" s="16">
        <f t="shared" si="1"/>
        <v>128.1596192</v>
      </c>
      <c r="H312" s="16"/>
      <c r="I312" s="17">
        <v>141.090000000025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ht="15.75" customHeight="1">
      <c r="A313" s="16"/>
      <c r="B313" s="16"/>
      <c r="C313" s="16"/>
      <c r="D313" s="16" t="s">
        <v>310</v>
      </c>
      <c r="E313" s="17">
        <v>114.362662459154</v>
      </c>
      <c r="F313" s="21">
        <f>Tabelle1!E312-Hoja1!E313</f>
        <v>-115.0478377</v>
      </c>
      <c r="G313" s="16">
        <f t="shared" si="1"/>
        <v>115.0478377</v>
      </c>
      <c r="H313" s="16"/>
      <c r="I313" s="17">
        <v>127.839999999967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ht="15.75" customHeight="1">
      <c r="A314" s="16"/>
      <c r="B314" s="16"/>
      <c r="C314" s="16"/>
      <c r="D314" s="16" t="s">
        <v>311</v>
      </c>
      <c r="E314" s="17">
        <v>82.3267914627275</v>
      </c>
      <c r="F314" s="21">
        <f>Tabelle1!E313-Hoja1!E314</f>
        <v>-82.92153936</v>
      </c>
      <c r="G314" s="16">
        <f t="shared" si="1"/>
        <v>82.92153936</v>
      </c>
      <c r="H314" s="16"/>
      <c r="I314" s="17">
        <v>96.4100000000326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ht="15.75" customHeight="1">
      <c r="A315" s="16"/>
      <c r="B315" s="16"/>
      <c r="C315" s="16"/>
      <c r="D315" s="16" t="s">
        <v>312</v>
      </c>
      <c r="E315" s="17">
        <v>48.7347887467956</v>
      </c>
      <c r="F315" s="16">
        <f>Tabelle1!E314-Hoja1!E315</f>
        <v>-48.92705079</v>
      </c>
      <c r="G315" s="16">
        <f t="shared" si="1"/>
        <v>48.92705079</v>
      </c>
      <c r="H315" s="16"/>
      <c r="I315" s="17">
        <v>50.9500000000116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ht="15.75" customHeight="1">
      <c r="A316" s="16"/>
      <c r="B316" s="16"/>
      <c r="C316" s="16"/>
      <c r="D316" s="16" t="s">
        <v>313</v>
      </c>
      <c r="E316" s="17">
        <v>15.6758127679291</v>
      </c>
      <c r="F316" s="16">
        <f>Tabelle1!E315-Hoja1!E316</f>
        <v>-15.63090835</v>
      </c>
      <c r="G316" s="16">
        <f t="shared" si="1"/>
        <v>15.63090835</v>
      </c>
      <c r="H316" s="16"/>
      <c r="I316" s="17">
        <v>14.9799999999813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ht="15.75" customHeight="1">
      <c r="A317" s="16"/>
      <c r="B317" s="16"/>
      <c r="C317" s="16"/>
      <c r="D317" s="16" t="s">
        <v>314</v>
      </c>
      <c r="E317" s="17">
        <v>0.0</v>
      </c>
      <c r="F317" s="16">
        <f>Tabelle1!E316-Hoja1!E317</f>
        <v>0.15959974</v>
      </c>
      <c r="G317" s="16">
        <f t="shared" si="1"/>
        <v>0.15959974</v>
      </c>
      <c r="H317" s="16"/>
      <c r="I317" s="17">
        <v>0.630000000004656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ht="15.75" customHeight="1">
      <c r="A318" s="16"/>
      <c r="B318" s="16"/>
      <c r="C318" s="16"/>
      <c r="D318" s="16" t="s">
        <v>315</v>
      </c>
      <c r="E318" s="17">
        <v>0.0</v>
      </c>
      <c r="F318" s="16">
        <f>Tabelle1!E317-Hoja1!E318</f>
        <v>0.1680572</v>
      </c>
      <c r="G318" s="16">
        <f t="shared" si="1"/>
        <v>0.1680572</v>
      </c>
      <c r="H318" s="16"/>
      <c r="I318" s="17">
        <v>0.0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ht="15.75" customHeight="1">
      <c r="A319" s="16"/>
      <c r="B319" s="16"/>
      <c r="C319" s="16"/>
      <c r="D319" s="16" t="s">
        <v>316</v>
      </c>
      <c r="E319" s="17">
        <v>0.0</v>
      </c>
      <c r="F319" s="16">
        <f>Tabelle1!E318-Hoja1!E319</f>
        <v>0.1680572</v>
      </c>
      <c r="G319" s="16">
        <f t="shared" si="1"/>
        <v>0.1680572</v>
      </c>
      <c r="H319" s="16"/>
      <c r="I319" s="17">
        <v>0.0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ht="15.75" customHeight="1">
      <c r="A320" s="16"/>
      <c r="B320" s="16"/>
      <c r="C320" s="16"/>
      <c r="D320" s="16" t="s">
        <v>317</v>
      </c>
      <c r="E320" s="17">
        <v>0.0</v>
      </c>
      <c r="F320" s="16">
        <f>Tabelle1!E319-Hoja1!E320</f>
        <v>0.08440452</v>
      </c>
      <c r="G320" s="16">
        <f t="shared" si="1"/>
        <v>0.08440452</v>
      </c>
      <c r="H320" s="16"/>
      <c r="I320" s="17">
        <v>0.0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ht="15.75" customHeight="1">
      <c r="A321" s="16"/>
      <c r="B321" s="16"/>
      <c r="C321" s="16"/>
      <c r="D321" s="16" t="s">
        <v>318</v>
      </c>
      <c r="E321" s="17">
        <v>0.0</v>
      </c>
      <c r="F321" s="16">
        <f>Tabelle1!E320-Hoja1!E321</f>
        <v>0.08440452</v>
      </c>
      <c r="G321" s="16">
        <f t="shared" si="1"/>
        <v>0.08440452</v>
      </c>
      <c r="H321" s="16"/>
      <c r="I321" s="17">
        <v>0.0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ht="15.75" customHeight="1">
      <c r="A322" s="16"/>
      <c r="B322" s="16"/>
      <c r="C322" s="16"/>
      <c r="D322" s="16" t="s">
        <v>319</v>
      </c>
      <c r="E322" s="17">
        <v>0.0</v>
      </c>
      <c r="F322" s="20">
        <f>Tabelle1!E321-Hoja1!E322</f>
        <v>0.08440452</v>
      </c>
      <c r="G322" s="16">
        <f t="shared" si="1"/>
        <v>0.08440452</v>
      </c>
      <c r="H322" s="16"/>
      <c r="I322" s="17">
        <v>0.0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ht="15.75" customHeight="1">
      <c r="A323" s="16"/>
      <c r="B323" s="16"/>
      <c r="C323" s="16"/>
      <c r="D323" s="16" t="s">
        <v>320</v>
      </c>
      <c r="E323" s="17">
        <v>0.0</v>
      </c>
      <c r="F323" s="20">
        <f>Tabelle1!E322-Hoja1!E323</f>
        <v>0.08440452</v>
      </c>
      <c r="G323" s="16">
        <f t="shared" si="1"/>
        <v>0.08440452</v>
      </c>
      <c r="H323" s="16"/>
      <c r="I323" s="17">
        <v>0.0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ht="15.75" customHeight="1">
      <c r="A324" s="16"/>
      <c r="B324" s="16"/>
      <c r="C324" s="16"/>
      <c r="D324" s="16" t="s">
        <v>321</v>
      </c>
      <c r="E324" s="17">
        <v>0.0</v>
      </c>
      <c r="F324" s="20">
        <f>Tabelle1!E323-Hoja1!E324</f>
        <v>0.08440452</v>
      </c>
      <c r="G324" s="16">
        <f t="shared" si="1"/>
        <v>0.08440452</v>
      </c>
      <c r="H324" s="16"/>
      <c r="I324" s="17">
        <v>0.0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ht="15.75" customHeight="1">
      <c r="A325" s="16"/>
      <c r="B325" s="16"/>
      <c r="C325" s="16"/>
      <c r="D325" s="16" t="s">
        <v>322</v>
      </c>
      <c r="E325" s="17">
        <v>0.0</v>
      </c>
      <c r="F325" s="20">
        <f>Tabelle1!E324-Hoja1!E325</f>
        <v>0.08440452</v>
      </c>
      <c r="G325" s="16">
        <f t="shared" si="1"/>
        <v>0.08440452</v>
      </c>
      <c r="H325" s="16"/>
      <c r="I325" s="17">
        <v>0.0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ht="15.75" customHeight="1">
      <c r="A326" s="16"/>
      <c r="B326" s="16"/>
      <c r="C326" s="16"/>
      <c r="D326" s="16" t="s">
        <v>323</v>
      </c>
      <c r="E326" s="17">
        <v>0.0</v>
      </c>
      <c r="F326" s="20">
        <f>Tabelle1!E325-Hoja1!E326</f>
        <v>0.08440452</v>
      </c>
      <c r="G326" s="16">
        <f t="shared" si="1"/>
        <v>0.08440452</v>
      </c>
      <c r="H326" s="16"/>
      <c r="I326" s="17">
        <v>0.0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ht="15.75" customHeight="1">
      <c r="A327" s="16"/>
      <c r="B327" s="16"/>
      <c r="C327" s="16"/>
      <c r="D327" s="16" t="s">
        <v>324</v>
      </c>
      <c r="E327" s="17">
        <v>0.0</v>
      </c>
      <c r="F327" s="20">
        <f>Tabelle1!E326-Hoja1!E327</f>
        <v>0.08440452</v>
      </c>
      <c r="G327" s="16">
        <f t="shared" si="1"/>
        <v>0.08440452</v>
      </c>
      <c r="H327" s="16"/>
      <c r="I327" s="17">
        <v>0.0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ht="15.75" customHeight="1">
      <c r="A328" s="16"/>
      <c r="B328" s="16"/>
      <c r="C328" s="16"/>
      <c r="D328" s="16" t="s">
        <v>325</v>
      </c>
      <c r="E328" s="17">
        <v>0.0</v>
      </c>
      <c r="F328" s="16">
        <f>Tabelle1!E327-Hoja1!E328</f>
        <v>0.08440452</v>
      </c>
      <c r="G328" s="16">
        <f t="shared" si="1"/>
        <v>0.08440452</v>
      </c>
      <c r="H328" s="16"/>
      <c r="I328" s="17">
        <v>0.159999999974388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ht="15.75" customHeight="1">
      <c r="A329" s="16"/>
      <c r="B329" s="16"/>
      <c r="C329" s="16"/>
      <c r="D329" s="16" t="s">
        <v>326</v>
      </c>
      <c r="E329" s="17">
        <v>5.19011193755316</v>
      </c>
      <c r="F329" s="21">
        <f>Tabelle1!E328-Hoja1!E329</f>
        <v>-5.016282978</v>
      </c>
      <c r="G329" s="16">
        <f t="shared" si="1"/>
        <v>5.016282978</v>
      </c>
      <c r="H329" s="16"/>
      <c r="I329" s="17">
        <v>5.86999999999534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ht="15.75" customHeight="1">
      <c r="A330" s="16"/>
      <c r="B330" s="16"/>
      <c r="C330" s="16"/>
      <c r="D330" s="16" t="s">
        <v>327</v>
      </c>
      <c r="E330" s="17">
        <v>25.3500540797313</v>
      </c>
      <c r="F330" s="21">
        <f>Tabelle1!E329-Hoja1!E330</f>
        <v>-25.56260137</v>
      </c>
      <c r="G330" s="16">
        <f t="shared" si="1"/>
        <v>25.56260137</v>
      </c>
      <c r="H330" s="16"/>
      <c r="I330" s="17">
        <v>19.25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ht="15.75" customHeight="1">
      <c r="A331" s="16"/>
      <c r="B331" s="16"/>
      <c r="C331" s="16"/>
      <c r="D331" s="16" t="s">
        <v>328</v>
      </c>
      <c r="E331" s="17">
        <v>82.2927689019116</v>
      </c>
      <c r="F331" s="21">
        <f>Tabelle1!E330-Hoja1!E331</f>
        <v>-82.40530256</v>
      </c>
      <c r="G331" s="16">
        <f t="shared" si="1"/>
        <v>82.40530256</v>
      </c>
      <c r="H331" s="16"/>
      <c r="I331" s="17">
        <v>12.1500000000232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ht="15.75" customHeight="1">
      <c r="A332" s="16"/>
      <c r="B332" s="16"/>
      <c r="C332" s="16"/>
      <c r="D332" s="16" t="s">
        <v>329</v>
      </c>
      <c r="E332" s="17">
        <v>108.680328866895</v>
      </c>
      <c r="F332" s="16">
        <f>Tabelle1!E331-Hoja1!E332</f>
        <v>-108.7928625</v>
      </c>
      <c r="G332" s="16">
        <f t="shared" si="1"/>
        <v>108.7928625</v>
      </c>
      <c r="H332" s="16"/>
      <c r="I332" s="17">
        <v>92.1599999999743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ht="15.75" customHeight="1">
      <c r="A333" s="16"/>
      <c r="B333" s="16"/>
      <c r="C333" s="16"/>
      <c r="D333" s="16" t="s">
        <v>330</v>
      </c>
      <c r="E333" s="17">
        <v>125.592330598637</v>
      </c>
      <c r="F333" s="21">
        <f>Tabelle1!E332-Hoja1!E333</f>
        <v>-125.7048643</v>
      </c>
      <c r="G333" s="16">
        <f t="shared" si="1"/>
        <v>125.7048643</v>
      </c>
      <c r="H333" s="16"/>
      <c r="I333" s="17">
        <v>122.860000000044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ht="15.75" customHeight="1">
      <c r="A334" s="16"/>
      <c r="B334" s="16"/>
      <c r="C334" s="16"/>
      <c r="D334" s="16" t="s">
        <v>331</v>
      </c>
      <c r="E334" s="17">
        <v>124.852097133715</v>
      </c>
      <c r="F334" s="21">
        <f>Tabelle1!E333-Hoja1!E334</f>
        <v>-124.9646308</v>
      </c>
      <c r="G334" s="16">
        <f t="shared" si="1"/>
        <v>124.9646308</v>
      </c>
      <c r="H334" s="16"/>
      <c r="I334" s="17">
        <v>124.589999999967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ht="15.75" customHeight="1">
      <c r="A335" s="16"/>
      <c r="B335" s="16"/>
      <c r="C335" s="16"/>
      <c r="D335" s="16" t="s">
        <v>332</v>
      </c>
      <c r="E335" s="17">
        <v>124.772900350031</v>
      </c>
      <c r="F335" s="21">
        <f>Tabelle1!E334-Hoja1!E335</f>
        <v>-124.885434</v>
      </c>
      <c r="G335" s="16">
        <f t="shared" si="1"/>
        <v>124.885434</v>
      </c>
      <c r="H335" s="16"/>
      <c r="I335" s="17">
        <v>121.420000000041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ht="15.75" customHeight="1">
      <c r="A336" s="16"/>
      <c r="B336" s="16"/>
      <c r="C336" s="16"/>
      <c r="D336" s="16" t="s">
        <v>333</v>
      </c>
      <c r="E336" s="17">
        <v>119.171770642102</v>
      </c>
      <c r="F336" s="21">
        <f>Tabelle1!E335-Hoja1!E336</f>
        <v>-119.2843043</v>
      </c>
      <c r="G336" s="16">
        <f t="shared" si="1"/>
        <v>119.2843043</v>
      </c>
      <c r="H336" s="16"/>
      <c r="I336" s="17">
        <v>116.279999999969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ht="15.75" customHeight="1">
      <c r="A337" s="16"/>
      <c r="B337" s="16"/>
      <c r="C337" s="16"/>
      <c r="D337" s="16" t="s">
        <v>334</v>
      </c>
      <c r="E337" s="17">
        <v>103.468088662272</v>
      </c>
      <c r="F337" s="21">
        <f>Tabelle1!E336-Hoja1!E337</f>
        <v>-103.5806223</v>
      </c>
      <c r="G337" s="16">
        <f t="shared" si="1"/>
        <v>103.5806223</v>
      </c>
      <c r="H337" s="16"/>
      <c r="I337" s="17">
        <v>108.609999999986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ht="15.75" customHeight="1">
      <c r="A338" s="16"/>
      <c r="B338" s="16"/>
      <c r="C338" s="16"/>
      <c r="D338" s="16" t="s">
        <v>335</v>
      </c>
      <c r="E338" s="17">
        <v>74.9048755881909</v>
      </c>
      <c r="F338" s="21">
        <f>Tabelle1!E337-Hoja1!E338</f>
        <v>-74.9794562</v>
      </c>
      <c r="G338" s="16">
        <f t="shared" si="1"/>
        <v>74.9794562</v>
      </c>
      <c r="H338" s="16"/>
      <c r="I338" s="17">
        <v>86.2000000000116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ht="15.75" customHeight="1">
      <c r="A339" s="16"/>
      <c r="B339" s="16"/>
      <c r="C339" s="16"/>
      <c r="D339" s="16" t="s">
        <v>336</v>
      </c>
      <c r="E339" s="17">
        <v>41.8446315353687</v>
      </c>
      <c r="F339" s="16">
        <f>Tabelle1!E338-Hoja1!E339</f>
        <v>-41.68748722</v>
      </c>
      <c r="G339" s="16">
        <f t="shared" si="1"/>
        <v>41.68748722</v>
      </c>
      <c r="H339" s="16"/>
      <c r="I339" s="17">
        <v>41.7600000000093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ht="15.75" customHeight="1">
      <c r="A340" s="16"/>
      <c r="B340" s="16"/>
      <c r="C340" s="16"/>
      <c r="D340" s="16" t="s">
        <v>337</v>
      </c>
      <c r="E340" s="17">
        <v>14.2217904461729</v>
      </c>
      <c r="F340" s="16">
        <f>Tabelle1!E339-Hoja1!E340</f>
        <v>-14.09693036</v>
      </c>
      <c r="G340" s="16">
        <f t="shared" si="1"/>
        <v>14.09693036</v>
      </c>
      <c r="H340" s="16"/>
      <c r="I340" s="17">
        <v>12.0899999999674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ht="15.75" customHeight="1">
      <c r="A341" s="16"/>
      <c r="B341" s="16"/>
      <c r="C341" s="16"/>
      <c r="D341" s="16" t="s">
        <v>338</v>
      </c>
      <c r="E341" s="17">
        <v>0.0</v>
      </c>
      <c r="F341" s="16">
        <f>Tabelle1!E340-Hoja1!E341</f>
        <v>0.15972464</v>
      </c>
      <c r="G341" s="16">
        <f t="shared" si="1"/>
        <v>0.15972464</v>
      </c>
      <c r="H341" s="16"/>
      <c r="I341" s="17">
        <v>0.410000000032596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ht="15.75" customHeight="1">
      <c r="A342" s="16"/>
      <c r="B342" s="16"/>
      <c r="C342" s="16"/>
      <c r="D342" s="16" t="s">
        <v>339</v>
      </c>
      <c r="E342" s="17">
        <v>0.0</v>
      </c>
      <c r="F342" s="16">
        <f>Tabelle1!E341-Hoja1!E342</f>
        <v>0.1681821</v>
      </c>
      <c r="G342" s="16">
        <f t="shared" si="1"/>
        <v>0.1681821</v>
      </c>
      <c r="H342" s="16"/>
      <c r="I342" s="17">
        <v>0.0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ht="15.75" customHeight="1">
      <c r="A343" s="16"/>
      <c r="B343" s="16"/>
      <c r="C343" s="16"/>
      <c r="D343" s="16" t="s">
        <v>340</v>
      </c>
      <c r="E343" s="17">
        <v>0.0</v>
      </c>
      <c r="F343" s="16">
        <f>Tabelle1!E342-Hoja1!E343</f>
        <v>0.1681821</v>
      </c>
      <c r="G343" s="16">
        <f t="shared" si="1"/>
        <v>0.1681821</v>
      </c>
      <c r="H343" s="16"/>
      <c r="I343" s="17">
        <v>0.0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ht="15.75" customHeight="1">
      <c r="A344" s="16"/>
      <c r="B344" s="16"/>
      <c r="C344" s="16"/>
      <c r="D344" s="16" t="s">
        <v>341</v>
      </c>
      <c r="E344" s="17">
        <v>0.0</v>
      </c>
      <c r="F344" s="16">
        <f>Tabelle1!E343-Hoja1!E344</f>
        <v>0.08440452</v>
      </c>
      <c r="G344" s="16">
        <f t="shared" si="1"/>
        <v>0.08440452</v>
      </c>
      <c r="H344" s="16"/>
      <c r="I344" s="17">
        <v>0.0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ht="15.75" customHeight="1">
      <c r="A345" s="16"/>
      <c r="B345" s="16"/>
      <c r="C345" s="16"/>
      <c r="D345" s="16" t="s">
        <v>342</v>
      </c>
      <c r="E345" s="17">
        <v>0.0</v>
      </c>
      <c r="F345" s="20">
        <f>Tabelle1!E344-Hoja1!E345</f>
        <v>0.08440452</v>
      </c>
      <c r="G345" s="16">
        <f t="shared" si="1"/>
        <v>0.08440452</v>
      </c>
      <c r="H345" s="16"/>
      <c r="I345" s="17">
        <v>0.0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ht="15.75" customHeight="1">
      <c r="A346" s="16"/>
      <c r="B346" s="16"/>
      <c r="C346" s="16"/>
      <c r="D346" s="16" t="s">
        <v>343</v>
      </c>
      <c r="E346" s="17">
        <v>0.0</v>
      </c>
      <c r="F346" s="16">
        <f>Tabelle1!E345-Hoja1!E346</f>
        <v>0.08440452</v>
      </c>
      <c r="G346" s="16">
        <f t="shared" si="1"/>
        <v>0.08440452</v>
      </c>
      <c r="H346" s="16"/>
      <c r="I346" s="17">
        <v>0.0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ht="15.75" customHeight="1">
      <c r="A347" s="16"/>
      <c r="B347" s="16"/>
      <c r="C347" s="16"/>
      <c r="D347" s="16" t="s">
        <v>344</v>
      </c>
      <c r="E347" s="17">
        <v>0.0</v>
      </c>
      <c r="F347" s="20">
        <f>Tabelle1!E346-Hoja1!E347</f>
        <v>0.08440452</v>
      </c>
      <c r="G347" s="16">
        <f t="shared" si="1"/>
        <v>0.08440452</v>
      </c>
      <c r="H347" s="16"/>
      <c r="I347" s="17">
        <v>0.0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ht="15.75" customHeight="1">
      <c r="A348" s="16"/>
      <c r="B348" s="16"/>
      <c r="C348" s="16"/>
      <c r="D348" s="16" t="s">
        <v>345</v>
      </c>
      <c r="E348" s="17">
        <v>0.0</v>
      </c>
      <c r="F348" s="20">
        <f>Tabelle1!E347-Hoja1!E348</f>
        <v>0.08440452</v>
      </c>
      <c r="G348" s="16">
        <f t="shared" si="1"/>
        <v>0.08440452</v>
      </c>
      <c r="H348" s="16"/>
      <c r="I348" s="17">
        <v>0.0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ht="15.75" customHeight="1">
      <c r="A349" s="16"/>
      <c r="B349" s="16"/>
      <c r="C349" s="16"/>
      <c r="D349" s="16" t="s">
        <v>346</v>
      </c>
      <c r="E349" s="17">
        <v>0.0</v>
      </c>
      <c r="F349" s="20">
        <f>Tabelle1!E348-Hoja1!E349</f>
        <v>0.08440452</v>
      </c>
      <c r="G349" s="16">
        <f t="shared" si="1"/>
        <v>0.08440452</v>
      </c>
      <c r="H349" s="16"/>
      <c r="I349" s="17">
        <v>0.0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ht="15.75" customHeight="1">
      <c r="A350" s="16"/>
      <c r="B350" s="16"/>
      <c r="C350" s="16"/>
      <c r="D350" s="16" t="s">
        <v>347</v>
      </c>
      <c r="E350" s="17">
        <v>0.0</v>
      </c>
      <c r="F350" s="20">
        <f>Tabelle1!E349-Hoja1!E350</f>
        <v>0.08440452</v>
      </c>
      <c r="G350" s="16">
        <f t="shared" si="1"/>
        <v>0.08440452</v>
      </c>
      <c r="H350" s="16"/>
      <c r="I350" s="17">
        <v>0.0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ht="15.75" customHeight="1">
      <c r="A351" s="16"/>
      <c r="B351" s="16"/>
      <c r="C351" s="16"/>
      <c r="D351" s="16" t="s">
        <v>348</v>
      </c>
      <c r="E351" s="17">
        <v>0.0</v>
      </c>
      <c r="F351" s="20">
        <f>Tabelle1!E350-Hoja1!E351</f>
        <v>0.08440452</v>
      </c>
      <c r="G351" s="16">
        <f t="shared" si="1"/>
        <v>0.08440452</v>
      </c>
      <c r="H351" s="16"/>
      <c r="I351" s="17">
        <v>0.0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ht="15.75" customHeight="1">
      <c r="A352" s="16"/>
      <c r="B352" s="16"/>
      <c r="C352" s="16"/>
      <c r="D352" s="16" t="s">
        <v>349</v>
      </c>
      <c r="E352" s="17">
        <v>0.0</v>
      </c>
      <c r="F352" s="16">
        <f>Tabelle1!E351-Hoja1!E352</f>
        <v>0.08440452</v>
      </c>
      <c r="G352" s="16">
        <f t="shared" si="1"/>
        <v>0.08440452</v>
      </c>
      <c r="H352" s="16"/>
      <c r="I352" s="17">
        <v>0.0999999999767169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ht="15.75" customHeight="1">
      <c r="A353" s="16"/>
      <c r="B353" s="16"/>
      <c r="C353" s="16"/>
      <c r="D353" s="16" t="s">
        <v>350</v>
      </c>
      <c r="E353" s="17">
        <v>4.82385973530735</v>
      </c>
      <c r="F353" s="21">
        <f>Tabelle1!E352-Hoja1!E353</f>
        <v>-4.650030775</v>
      </c>
      <c r="G353" s="16">
        <f t="shared" si="1"/>
        <v>4.650030775</v>
      </c>
      <c r="H353" s="16"/>
      <c r="I353" s="17">
        <v>5.52000000001862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ht="15.75" customHeight="1">
      <c r="A354" s="16"/>
      <c r="B354" s="16"/>
      <c r="C354" s="16"/>
      <c r="D354" s="16" t="s">
        <v>351</v>
      </c>
      <c r="E354" s="17">
        <v>27.0366838753948</v>
      </c>
      <c r="F354" s="21">
        <f>Tabelle1!E353-Hoja1!E354</f>
        <v>-27.24923117</v>
      </c>
      <c r="G354" s="16">
        <f t="shared" si="1"/>
        <v>27.24923117</v>
      </c>
      <c r="H354" s="16"/>
      <c r="I354" s="17">
        <v>32.3300000000163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ht="15.75" customHeight="1">
      <c r="A355" s="16"/>
      <c r="B355" s="16"/>
      <c r="C355" s="16"/>
      <c r="D355" s="16" t="s">
        <v>352</v>
      </c>
      <c r="E355" s="17">
        <v>79.8479755289433</v>
      </c>
      <c r="F355" s="16">
        <f>Tabelle1!E354-Hoja1!E355</f>
        <v>-79.96050919</v>
      </c>
      <c r="G355" s="16">
        <f t="shared" si="1"/>
        <v>79.96050919</v>
      </c>
      <c r="H355" s="16"/>
      <c r="I355" s="17">
        <v>14.3899999999557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ht="15.75" customHeight="1">
      <c r="A356" s="16"/>
      <c r="B356" s="16"/>
      <c r="C356" s="16"/>
      <c r="D356" s="16" t="s">
        <v>353</v>
      </c>
      <c r="E356" s="17">
        <v>107.03164798082</v>
      </c>
      <c r="F356" s="16">
        <f>Tabelle1!E355-Hoja1!E356</f>
        <v>-107.1441816</v>
      </c>
      <c r="G356" s="16">
        <f t="shared" si="1"/>
        <v>107.1441816</v>
      </c>
      <c r="H356" s="16"/>
      <c r="I356" s="17">
        <v>11.8900000000139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ht="15.75" customHeight="1">
      <c r="A357" s="16"/>
      <c r="B357" s="16"/>
      <c r="C357" s="16"/>
      <c r="D357" s="16" t="s">
        <v>354</v>
      </c>
      <c r="E357" s="17">
        <v>123.912600436993</v>
      </c>
      <c r="F357" s="21">
        <f>Tabelle1!E356-Hoja1!E357</f>
        <v>-124.0251341</v>
      </c>
      <c r="G357" s="16">
        <f t="shared" si="1"/>
        <v>124.0251341</v>
      </c>
      <c r="H357" s="16"/>
      <c r="I357" s="17">
        <v>12.1700000000419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ht="15.75" customHeight="1">
      <c r="A358" s="16"/>
      <c r="B358" s="16"/>
      <c r="C358" s="16"/>
      <c r="D358" s="16" t="s">
        <v>355</v>
      </c>
      <c r="E358" s="17">
        <v>125.029561093145</v>
      </c>
      <c r="F358" s="21">
        <f>Tabelle1!E357-Hoja1!E358</f>
        <v>-125.1420948</v>
      </c>
      <c r="G358" s="16">
        <f t="shared" si="1"/>
        <v>125.1420948</v>
      </c>
      <c r="H358" s="16"/>
      <c r="I358" s="17">
        <v>90.4399999999441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ht="15.75" customHeight="1">
      <c r="A359" s="16"/>
      <c r="B359" s="16"/>
      <c r="C359" s="16"/>
      <c r="D359" s="16" t="s">
        <v>356</v>
      </c>
      <c r="E359" s="17">
        <v>124.589919036595</v>
      </c>
      <c r="F359" s="21">
        <f>Tabelle1!E358-Hoja1!E359</f>
        <v>-124.7024527</v>
      </c>
      <c r="G359" s="16">
        <f t="shared" si="1"/>
        <v>124.7024527</v>
      </c>
      <c r="H359" s="16"/>
      <c r="I359" s="17">
        <v>117.0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ht="15.75" customHeight="1">
      <c r="A360" s="16"/>
      <c r="B360" s="16"/>
      <c r="C360" s="16"/>
      <c r="D360" s="16" t="s">
        <v>357</v>
      </c>
      <c r="E360" s="17">
        <v>117.580316273415</v>
      </c>
      <c r="F360" s="21">
        <f>Tabelle1!E359-Hoja1!E360</f>
        <v>-117.6928499</v>
      </c>
      <c r="G360" s="16">
        <f t="shared" si="1"/>
        <v>117.6928499</v>
      </c>
      <c r="H360" s="16"/>
      <c r="I360" s="17">
        <v>115.5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ht="15.75" customHeight="1">
      <c r="A361" s="16"/>
      <c r="B361" s="16"/>
      <c r="C361" s="16"/>
      <c r="D361" s="16" t="s">
        <v>358</v>
      </c>
      <c r="E361" s="17">
        <v>103.960350799848</v>
      </c>
      <c r="F361" s="21">
        <f>Tabelle1!E360-Hoja1!E361</f>
        <v>-104.0728845</v>
      </c>
      <c r="G361" s="16">
        <f t="shared" si="1"/>
        <v>104.0728845</v>
      </c>
      <c r="H361" s="16"/>
      <c r="I361" s="17">
        <v>107.170000000041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ht="15.75" customHeight="1">
      <c r="A362" s="16"/>
      <c r="B362" s="16"/>
      <c r="C362" s="16"/>
      <c r="D362" s="16" t="s">
        <v>359</v>
      </c>
      <c r="E362" s="17">
        <v>77.8232744156218</v>
      </c>
      <c r="F362" s="21">
        <f>Tabelle1!E361-Hoja1!E362</f>
        <v>-77.89785503</v>
      </c>
      <c r="G362" s="16">
        <f t="shared" si="1"/>
        <v>77.89785503</v>
      </c>
      <c r="H362" s="16"/>
      <c r="I362" s="17">
        <v>85.3499999999767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ht="15.75" customHeight="1">
      <c r="A363" s="16"/>
      <c r="B363" s="16"/>
      <c r="C363" s="16"/>
      <c r="D363" s="16" t="s">
        <v>360</v>
      </c>
      <c r="E363" s="17">
        <v>41.5510304464005</v>
      </c>
      <c r="F363" s="16">
        <f>Tabelle1!E362-Hoja1!E363</f>
        <v>-41.39388613</v>
      </c>
      <c r="G363" s="16">
        <f t="shared" si="1"/>
        <v>41.39388613</v>
      </c>
      <c r="H363" s="16"/>
      <c r="I363" s="17">
        <v>45.6400000000139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ht="15.75" customHeight="1">
      <c r="A364" s="16"/>
      <c r="B364" s="16"/>
      <c r="C364" s="16"/>
      <c r="D364" s="16" t="s">
        <v>361</v>
      </c>
      <c r="E364" s="17">
        <v>13.9727189593993</v>
      </c>
      <c r="F364" s="16">
        <f>Tabelle1!E363-Hoja1!E364</f>
        <v>-13.84785887</v>
      </c>
      <c r="G364" s="16">
        <f t="shared" si="1"/>
        <v>13.84785887</v>
      </c>
      <c r="H364" s="16"/>
      <c r="I364" s="17">
        <v>12.5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ht="15.75" customHeight="1">
      <c r="A365" s="16"/>
      <c r="B365" s="16"/>
      <c r="C365" s="16"/>
      <c r="D365" s="16" t="s">
        <v>362</v>
      </c>
      <c r="E365" s="17">
        <v>0.0</v>
      </c>
      <c r="F365" s="16">
        <f>Tabelle1!E364-Hoja1!E365</f>
        <v>0.15972464</v>
      </c>
      <c r="G365" s="16">
        <f t="shared" si="1"/>
        <v>0.15972464</v>
      </c>
      <c r="H365" s="16"/>
      <c r="I365" s="17">
        <v>0.5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ht="15.75" customHeight="1">
      <c r="A366" s="16"/>
      <c r="B366" s="16"/>
      <c r="C366" s="16"/>
      <c r="D366" s="16" t="s">
        <v>363</v>
      </c>
      <c r="E366" s="17">
        <v>0.0</v>
      </c>
      <c r="F366" s="16">
        <f>Tabelle1!E365-Hoja1!E366</f>
        <v>0.1681821</v>
      </c>
      <c r="G366" s="16">
        <f t="shared" si="1"/>
        <v>0.1681821</v>
      </c>
      <c r="H366" s="16"/>
      <c r="I366" s="17">
        <v>0.0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ht="15.75" customHeight="1">
      <c r="A367" s="16"/>
      <c r="B367" s="16"/>
      <c r="C367" s="16"/>
      <c r="D367" s="16" t="s">
        <v>364</v>
      </c>
      <c r="E367" s="17">
        <v>0.0</v>
      </c>
      <c r="F367" s="16">
        <f>Tabelle1!E366-Hoja1!E367</f>
        <v>0.1681821</v>
      </c>
      <c r="G367" s="16">
        <f t="shared" si="1"/>
        <v>0.1681821</v>
      </c>
      <c r="H367" s="16"/>
      <c r="I367" s="17">
        <v>0.0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ht="15.75" customHeight="1">
      <c r="A368" s="16"/>
      <c r="B368" s="16"/>
      <c r="C368" s="16"/>
      <c r="D368" s="16" t="s">
        <v>365</v>
      </c>
      <c r="E368" s="17">
        <v>0.0</v>
      </c>
      <c r="F368" s="16">
        <f>Tabelle1!E367-Hoja1!E368</f>
        <v>0.09349357</v>
      </c>
      <c r="G368" s="16">
        <f t="shared" si="1"/>
        <v>0.09349357</v>
      </c>
      <c r="H368" s="16"/>
      <c r="I368" s="17">
        <v>0.0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ht="15.75" customHeight="1">
      <c r="A369" s="16"/>
      <c r="B369" s="16"/>
      <c r="C369" s="16"/>
      <c r="D369" s="16" t="s">
        <v>366</v>
      </c>
      <c r="E369" s="17">
        <v>0.0</v>
      </c>
      <c r="F369" s="16">
        <f>Tabelle1!E368-Hoja1!E369</f>
        <v>0.09349357</v>
      </c>
      <c r="G369" s="16">
        <f t="shared" si="1"/>
        <v>0.09349357</v>
      </c>
      <c r="H369" s="16"/>
      <c r="I369" s="17">
        <v>0.0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ht="15.75" customHeight="1">
      <c r="A370" s="16"/>
      <c r="B370" s="16"/>
      <c r="C370" s="16"/>
      <c r="D370" s="16" t="s">
        <v>367</v>
      </c>
      <c r="E370" s="17">
        <v>0.0</v>
      </c>
      <c r="F370" s="20">
        <f>Tabelle1!E369-Hoja1!E370</f>
        <v>0.09349357</v>
      </c>
      <c r="G370" s="16">
        <f t="shared" si="1"/>
        <v>0.09349357</v>
      </c>
      <c r="H370" s="16"/>
      <c r="I370" s="17">
        <v>0.0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ht="15.75" customHeight="1">
      <c r="A371" s="16"/>
      <c r="B371" s="16"/>
      <c r="C371" s="16"/>
      <c r="D371" s="16" t="s">
        <v>368</v>
      </c>
      <c r="E371" s="17">
        <v>0.0</v>
      </c>
      <c r="F371" s="20">
        <f>Tabelle1!E370-Hoja1!E371</f>
        <v>0.09349357</v>
      </c>
      <c r="G371" s="16">
        <f t="shared" si="1"/>
        <v>0.09349357</v>
      </c>
      <c r="H371" s="16"/>
      <c r="I371" s="17">
        <v>0.0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ht="15.75" customHeight="1">
      <c r="A372" s="16"/>
      <c r="B372" s="16"/>
      <c r="C372" s="16"/>
      <c r="D372" s="16" t="s">
        <v>369</v>
      </c>
      <c r="E372" s="17">
        <v>0.0</v>
      </c>
      <c r="F372" s="20">
        <f>Tabelle1!E371-Hoja1!E372</f>
        <v>0.09349357</v>
      </c>
      <c r="G372" s="16">
        <f t="shared" si="1"/>
        <v>0.09349357</v>
      </c>
      <c r="H372" s="16"/>
      <c r="I372" s="17">
        <v>0.0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ht="15.75" customHeight="1">
      <c r="A373" s="16"/>
      <c r="B373" s="16"/>
      <c r="C373" s="16"/>
      <c r="D373" s="16" t="s">
        <v>370</v>
      </c>
      <c r="E373" s="17">
        <v>0.0</v>
      </c>
      <c r="F373" s="20">
        <f>Tabelle1!E372-Hoja1!E373</f>
        <v>0.09349357</v>
      </c>
      <c r="G373" s="16">
        <f t="shared" si="1"/>
        <v>0.09349357</v>
      </c>
      <c r="H373" s="16"/>
      <c r="I373" s="17">
        <v>0.0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ht="15.75" customHeight="1">
      <c r="A374" s="16"/>
      <c r="B374" s="16"/>
      <c r="C374" s="16"/>
      <c r="D374" s="16" t="s">
        <v>371</v>
      </c>
      <c r="E374" s="17">
        <v>0.0</v>
      </c>
      <c r="F374" s="20">
        <f>Tabelle1!E373-Hoja1!E374</f>
        <v>0.09349357</v>
      </c>
      <c r="G374" s="16">
        <f t="shared" si="1"/>
        <v>0.09349357</v>
      </c>
      <c r="H374" s="16"/>
      <c r="I374" s="17">
        <v>0.0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ht="15.75" customHeight="1">
      <c r="A375" s="16"/>
      <c r="B375" s="16"/>
      <c r="C375" s="16"/>
      <c r="D375" s="16" t="s">
        <v>372</v>
      </c>
      <c r="E375" s="17">
        <v>0.0</v>
      </c>
      <c r="F375" s="20">
        <f>Tabelle1!E374-Hoja1!E375</f>
        <v>0.09349357</v>
      </c>
      <c r="G375" s="16">
        <f t="shared" si="1"/>
        <v>0.09349357</v>
      </c>
      <c r="H375" s="16"/>
      <c r="I375" s="17">
        <v>0.0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ht="15.75" customHeight="1">
      <c r="A376" s="16"/>
      <c r="B376" s="16"/>
      <c r="C376" s="16"/>
      <c r="D376" s="16" t="s">
        <v>373</v>
      </c>
      <c r="E376" s="17">
        <v>0.0</v>
      </c>
      <c r="F376" s="16">
        <f>Tabelle1!E375-Hoja1!E376</f>
        <v>0.09349357</v>
      </c>
      <c r="G376" s="16">
        <f t="shared" si="1"/>
        <v>0.09349357</v>
      </c>
      <c r="H376" s="16"/>
      <c r="I376" s="17">
        <v>0.0800000000162981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ht="15.75" customHeight="1">
      <c r="A377" s="16"/>
      <c r="B377" s="16"/>
      <c r="C377" s="16"/>
      <c r="D377" s="16" t="s">
        <v>374</v>
      </c>
      <c r="E377" s="17">
        <v>5.41293813853446</v>
      </c>
      <c r="F377" s="21">
        <f>Tabelle1!E376-Hoja1!E377</f>
        <v>-5.230020139</v>
      </c>
      <c r="G377" s="16">
        <f t="shared" si="1"/>
        <v>5.230020139</v>
      </c>
      <c r="H377" s="16"/>
      <c r="I377" s="17">
        <v>5.52999999996973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ht="15.75" customHeight="1">
      <c r="A378" s="16"/>
      <c r="B378" s="16"/>
      <c r="C378" s="16"/>
      <c r="D378" s="16" t="s">
        <v>375</v>
      </c>
      <c r="E378" s="17">
        <v>44.6672216116769</v>
      </c>
      <c r="F378" s="21">
        <f>Tabelle1!E377-Hoja1!E378</f>
        <v>-45.01022141</v>
      </c>
      <c r="G378" s="16">
        <f t="shared" si="1"/>
        <v>45.01022141</v>
      </c>
      <c r="H378" s="16"/>
      <c r="I378" s="17">
        <v>40.9600000000209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ht="15.75" customHeight="1">
      <c r="A379" s="16"/>
      <c r="B379" s="16"/>
      <c r="C379" s="16"/>
      <c r="D379" s="16" t="s">
        <v>376</v>
      </c>
      <c r="E379" s="17">
        <v>93.675192816549</v>
      </c>
      <c r="F379" s="21">
        <f>Tabelle1!E378-Hoja1!E379</f>
        <v>-94.41558512</v>
      </c>
      <c r="G379" s="16">
        <f t="shared" si="1"/>
        <v>94.41558512</v>
      </c>
      <c r="H379" s="16"/>
      <c r="I379" s="17">
        <v>89.1900000000023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ht="15.75" customHeight="1">
      <c r="A380" s="16"/>
      <c r="B380" s="16"/>
      <c r="C380" s="16"/>
      <c r="D380" s="16" t="s">
        <v>377</v>
      </c>
      <c r="E380" s="17">
        <v>116.745540609014</v>
      </c>
      <c r="F380" s="21">
        <f>Tabelle1!E379-Hoja1!E380</f>
        <v>-117.4859329</v>
      </c>
      <c r="G380" s="16">
        <f t="shared" si="1"/>
        <v>117.4859329</v>
      </c>
      <c r="H380" s="16"/>
      <c r="I380" s="17">
        <v>122.75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ht="15.75" customHeight="1">
      <c r="A381" s="16"/>
      <c r="B381" s="16"/>
      <c r="C381" s="16"/>
      <c r="D381" s="16" t="s">
        <v>378</v>
      </c>
      <c r="E381" s="17">
        <v>131.629709789899</v>
      </c>
      <c r="F381" s="21">
        <f>Tabelle1!E380-Hoja1!E381</f>
        <v>-132.3701021</v>
      </c>
      <c r="G381" s="16">
        <f t="shared" si="1"/>
        <v>132.3701021</v>
      </c>
      <c r="H381" s="16"/>
      <c r="I381" s="17">
        <v>141.010000000009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ht="15.75" customHeight="1">
      <c r="A382" s="16"/>
      <c r="B382" s="16"/>
      <c r="C382" s="16"/>
      <c r="D382" s="16" t="s">
        <v>379</v>
      </c>
      <c r="E382" s="17">
        <v>130.252439127125</v>
      </c>
      <c r="F382" s="21">
        <f>Tabelle1!E381-Hoja1!E382</f>
        <v>-130.9928314</v>
      </c>
      <c r="G382" s="16">
        <f t="shared" si="1"/>
        <v>130.9928314</v>
      </c>
      <c r="H382" s="16"/>
      <c r="I382" s="17">
        <v>140.459999999962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ht="15.75" customHeight="1">
      <c r="A383" s="16"/>
      <c r="B383" s="16"/>
      <c r="C383" s="16"/>
      <c r="D383" s="16" t="s">
        <v>380</v>
      </c>
      <c r="E383" s="17">
        <v>130.594392761944</v>
      </c>
      <c r="F383" s="21">
        <f>Tabelle1!E382-Hoja1!E383</f>
        <v>-131.3347851</v>
      </c>
      <c r="G383" s="16">
        <f t="shared" si="1"/>
        <v>131.3347851</v>
      </c>
      <c r="H383" s="16"/>
      <c r="I383" s="17">
        <v>134.609999999986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ht="15.75" customHeight="1">
      <c r="A384" s="16"/>
      <c r="B384" s="16"/>
      <c r="C384" s="16"/>
      <c r="D384" s="16" t="s">
        <v>381</v>
      </c>
      <c r="E384" s="17">
        <v>124.977379433141</v>
      </c>
      <c r="F384" s="21">
        <f>Tabelle1!E383-Hoja1!E384</f>
        <v>-125.7177717</v>
      </c>
      <c r="G384" s="16">
        <f t="shared" si="1"/>
        <v>125.7177717</v>
      </c>
      <c r="H384" s="16"/>
      <c r="I384" s="17">
        <v>122.47000000003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ht="15.75" customHeight="1">
      <c r="A385" s="16"/>
      <c r="B385" s="16"/>
      <c r="C385" s="16"/>
      <c r="D385" s="16" t="s">
        <v>382</v>
      </c>
      <c r="E385" s="17">
        <v>110.316329473802</v>
      </c>
      <c r="F385" s="21">
        <f>Tabelle1!E384-Hoja1!E385</f>
        <v>-111.0567218</v>
      </c>
      <c r="G385" s="16">
        <f t="shared" si="1"/>
        <v>111.0567218</v>
      </c>
      <c r="H385" s="16"/>
      <c r="I385" s="17">
        <v>120.150000000023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ht="15.75" customHeight="1">
      <c r="A386" s="16"/>
      <c r="B386" s="16"/>
      <c r="C386" s="16"/>
      <c r="D386" s="16" t="s">
        <v>383</v>
      </c>
      <c r="E386" s="17">
        <v>81.6324236386529</v>
      </c>
      <c r="F386" s="21">
        <f>Tabelle1!E385-Hoja1!E386</f>
        <v>-82.28238881</v>
      </c>
      <c r="G386" s="16">
        <f t="shared" si="1"/>
        <v>82.28238881</v>
      </c>
      <c r="H386" s="16"/>
      <c r="I386" s="17">
        <v>94.4799999999813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ht="15.75" customHeight="1">
      <c r="A387" s="16"/>
      <c r="B387" s="16"/>
      <c r="C387" s="16"/>
      <c r="D387" s="16" t="s">
        <v>384</v>
      </c>
      <c r="E387" s="17">
        <v>38.8675831794583</v>
      </c>
      <c r="F387" s="16">
        <f>Tabelle1!E386-Hoja1!E387</f>
        <v>-39.11506234</v>
      </c>
      <c r="G387" s="16">
        <f t="shared" si="1"/>
        <v>39.11506234</v>
      </c>
      <c r="H387" s="16"/>
      <c r="I387" s="17">
        <v>51.3900000000139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ht="15.75" customHeight="1">
      <c r="A388" s="16"/>
      <c r="B388" s="16"/>
      <c r="C388" s="16"/>
      <c r="D388" s="16" t="s">
        <v>385</v>
      </c>
      <c r="E388" s="17">
        <v>14.2798472639675</v>
      </c>
      <c r="F388" s="16">
        <f>Tabelle1!E387-Hoja1!E388</f>
        <v>-14.29015993</v>
      </c>
      <c r="G388" s="16">
        <f t="shared" si="1"/>
        <v>14.29015993</v>
      </c>
      <c r="H388" s="16"/>
      <c r="I388" s="17">
        <v>13.6300000000046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ht="15.75" customHeight="1">
      <c r="A389" s="16"/>
      <c r="B389" s="16"/>
      <c r="C389" s="16"/>
      <c r="D389" s="16" t="s">
        <v>386</v>
      </c>
      <c r="E389" s="17">
        <v>0.0</v>
      </c>
      <c r="F389" s="16">
        <f>Tabelle1!E388-Hoja1!E389</f>
        <v>0.156024</v>
      </c>
      <c r="G389" s="16">
        <f t="shared" si="1"/>
        <v>0.156024</v>
      </c>
      <c r="H389" s="16"/>
      <c r="I389" s="17">
        <v>0.549999999988358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ht="15.75" customHeight="1">
      <c r="A390" s="16"/>
      <c r="B390" s="16"/>
      <c r="C390" s="16"/>
      <c r="D390" s="16" t="s">
        <v>387</v>
      </c>
      <c r="E390" s="17">
        <v>0.0</v>
      </c>
      <c r="F390" s="16">
        <f>Tabelle1!E389-Hoja1!E390</f>
        <v>0.16448146</v>
      </c>
      <c r="G390" s="16">
        <f t="shared" si="1"/>
        <v>0.16448146</v>
      </c>
      <c r="H390" s="16"/>
      <c r="I390" s="17">
        <v>0.0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ht="15.75" customHeight="1">
      <c r="A391" s="16"/>
      <c r="B391" s="16"/>
      <c r="C391" s="16"/>
      <c r="D391" s="16" t="s">
        <v>388</v>
      </c>
      <c r="E391" s="17">
        <v>0.0</v>
      </c>
      <c r="F391" s="16">
        <f>Tabelle1!E390-Hoja1!E391</f>
        <v>0.16448146</v>
      </c>
      <c r="G391" s="16">
        <f t="shared" si="1"/>
        <v>0.16448146</v>
      </c>
      <c r="H391" s="16"/>
      <c r="I391" s="17">
        <v>0.0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ht="15.75" customHeight="1">
      <c r="A392" s="16"/>
      <c r="B392" s="16"/>
      <c r="C392" s="16"/>
      <c r="D392" s="16" t="s">
        <v>389</v>
      </c>
      <c r="E392" s="17">
        <v>0.0</v>
      </c>
      <c r="F392" s="16">
        <f>Tabelle1!E391-Hoja1!E392</f>
        <v>0.09349357</v>
      </c>
      <c r="G392" s="16">
        <f t="shared" si="1"/>
        <v>0.09349357</v>
      </c>
      <c r="H392" s="16"/>
      <c r="I392" s="17">
        <v>0.0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ht="15.75" customHeight="1">
      <c r="A393" s="16"/>
      <c r="B393" s="16"/>
      <c r="C393" s="16"/>
      <c r="D393" s="16" t="s">
        <v>390</v>
      </c>
      <c r="E393" s="17">
        <v>0.0</v>
      </c>
      <c r="F393" s="16">
        <f>Tabelle1!E392-Hoja1!E393</f>
        <v>0.09349357</v>
      </c>
      <c r="G393" s="16">
        <f t="shared" si="1"/>
        <v>0.09349357</v>
      </c>
      <c r="H393" s="16"/>
      <c r="I393" s="17">
        <v>0.0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ht="15.75" customHeight="1">
      <c r="A394" s="16"/>
      <c r="B394" s="16"/>
      <c r="C394" s="16"/>
      <c r="D394" s="16" t="s">
        <v>391</v>
      </c>
      <c r="E394" s="17">
        <v>0.0</v>
      </c>
      <c r="F394" s="16">
        <f>Tabelle1!E393-Hoja1!E394</f>
        <v>0.09349357</v>
      </c>
      <c r="G394" s="16">
        <f t="shared" si="1"/>
        <v>0.09349357</v>
      </c>
      <c r="H394" s="16"/>
      <c r="I394" s="17">
        <v>0.0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ht="15.75" customHeight="1">
      <c r="A395" s="16"/>
      <c r="B395" s="16"/>
      <c r="C395" s="16"/>
      <c r="D395" s="16" t="s">
        <v>392</v>
      </c>
      <c r="E395" s="17">
        <v>0.0</v>
      </c>
      <c r="F395" s="20">
        <f>Tabelle1!E394-Hoja1!E395</f>
        <v>0.09349357</v>
      </c>
      <c r="G395" s="16">
        <f t="shared" si="1"/>
        <v>0.09349357</v>
      </c>
      <c r="H395" s="16"/>
      <c r="I395" s="17">
        <v>0.0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ht="15.75" customHeight="1">
      <c r="A396" s="16"/>
      <c r="B396" s="16"/>
      <c r="C396" s="16"/>
      <c r="D396" s="16" t="s">
        <v>393</v>
      </c>
      <c r="E396" s="17">
        <v>0.0</v>
      </c>
      <c r="F396" s="20">
        <f>Tabelle1!E395-Hoja1!E396</f>
        <v>0.09349357</v>
      </c>
      <c r="G396" s="16">
        <f t="shared" si="1"/>
        <v>0.09349357</v>
      </c>
      <c r="H396" s="16"/>
      <c r="I396" s="17">
        <v>0.0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ht="15.75" customHeight="1">
      <c r="A397" s="16"/>
      <c r="B397" s="16"/>
      <c r="C397" s="16"/>
      <c r="D397" s="16" t="s">
        <v>394</v>
      </c>
      <c r="E397" s="17">
        <v>0.0</v>
      </c>
      <c r="F397" s="20">
        <f>Tabelle1!E396-Hoja1!E397</f>
        <v>0.09349357</v>
      </c>
      <c r="G397" s="16">
        <f t="shared" si="1"/>
        <v>0.09349357</v>
      </c>
      <c r="H397" s="16"/>
      <c r="I397" s="17">
        <v>0.0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ht="15.75" customHeight="1">
      <c r="A398" s="16"/>
      <c r="B398" s="16"/>
      <c r="C398" s="16"/>
      <c r="D398" s="16" t="s">
        <v>395</v>
      </c>
      <c r="E398" s="17">
        <v>0.0</v>
      </c>
      <c r="F398" s="20">
        <f>Tabelle1!E397-Hoja1!E398</f>
        <v>0.09349357</v>
      </c>
      <c r="G398" s="16">
        <f t="shared" si="1"/>
        <v>0.09349357</v>
      </c>
      <c r="H398" s="16"/>
      <c r="I398" s="17">
        <v>0.0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ht="15.75" customHeight="1">
      <c r="A399" s="16"/>
      <c r="B399" s="16"/>
      <c r="C399" s="16"/>
      <c r="D399" s="16" t="s">
        <v>396</v>
      </c>
      <c r="E399" s="17">
        <v>0.0</v>
      </c>
      <c r="F399" s="20">
        <f>Tabelle1!E398-Hoja1!E399</f>
        <v>0.09349357</v>
      </c>
      <c r="G399" s="16">
        <f t="shared" si="1"/>
        <v>0.09349357</v>
      </c>
      <c r="H399" s="16"/>
      <c r="I399" s="17">
        <v>0.0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ht="15.75" customHeight="1">
      <c r="A400" s="16"/>
      <c r="B400" s="16"/>
      <c r="C400" s="16"/>
      <c r="D400" s="16" t="s">
        <v>397</v>
      </c>
      <c r="E400" s="17">
        <v>0.0</v>
      </c>
      <c r="F400" s="16">
        <f>Tabelle1!E399-Hoja1!E400</f>
        <v>0.09349357</v>
      </c>
      <c r="G400" s="16">
        <f t="shared" si="1"/>
        <v>0.09349357</v>
      </c>
      <c r="H400" s="16"/>
      <c r="I400" s="17">
        <v>0.140000000013969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ht="15.75" customHeight="1">
      <c r="A401" s="16"/>
      <c r="B401" s="16"/>
      <c r="C401" s="16"/>
      <c r="D401" s="16" t="s">
        <v>398</v>
      </c>
      <c r="E401" s="17">
        <v>4.87034026845466</v>
      </c>
      <c r="F401" s="21">
        <f>Tabelle1!E400-Hoja1!E401</f>
        <v>-4.687422268</v>
      </c>
      <c r="G401" s="16">
        <f t="shared" si="1"/>
        <v>4.687422268</v>
      </c>
      <c r="H401" s="16"/>
      <c r="I401" s="17">
        <v>5.35999999998603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ht="15.75" customHeight="1">
      <c r="A402" s="16"/>
      <c r="B402" s="16"/>
      <c r="C402" s="16"/>
      <c r="D402" s="16" t="s">
        <v>399</v>
      </c>
      <c r="E402" s="17">
        <v>34.4976648565887</v>
      </c>
      <c r="F402" s="21">
        <f>Tabelle1!E401-Hoja1!E402</f>
        <v>-34.84066466</v>
      </c>
      <c r="G402" s="16">
        <f t="shared" si="1"/>
        <v>34.84066466</v>
      </c>
      <c r="H402" s="16"/>
      <c r="I402" s="17">
        <v>39.0700000000069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ht="15.75" customHeight="1">
      <c r="A403" s="16"/>
      <c r="B403" s="16"/>
      <c r="C403" s="16"/>
      <c r="D403" s="16" t="s">
        <v>400</v>
      </c>
      <c r="E403" s="17">
        <v>87.5373628956332</v>
      </c>
      <c r="F403" s="21">
        <f>Tabelle1!E402-Hoja1!E403</f>
        <v>-88.2777552</v>
      </c>
      <c r="G403" s="16">
        <f t="shared" si="1"/>
        <v>88.2777552</v>
      </c>
      <c r="H403" s="16"/>
      <c r="I403" s="17">
        <v>86.359999999986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ht="15.75" customHeight="1">
      <c r="A404" s="16"/>
      <c r="B404" s="16"/>
      <c r="C404" s="16"/>
      <c r="D404" s="16" t="s">
        <v>401</v>
      </c>
      <c r="E404" s="17">
        <v>116.623031340358</v>
      </c>
      <c r="F404" s="21">
        <f>Tabelle1!E403-Hoja1!E404</f>
        <v>-117.3634236</v>
      </c>
      <c r="G404" s="16">
        <f t="shared" si="1"/>
        <v>117.3634236</v>
      </c>
      <c r="H404" s="16"/>
      <c r="I404" s="17">
        <v>123.330000000016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ht="15.75" customHeight="1">
      <c r="A405" s="16"/>
      <c r="B405" s="16"/>
      <c r="C405" s="16"/>
      <c r="D405" s="16" t="s">
        <v>402</v>
      </c>
      <c r="E405" s="17">
        <v>132.957771727185</v>
      </c>
      <c r="F405" s="21">
        <f>Tabelle1!E404-Hoja1!E405</f>
        <v>-133.698164</v>
      </c>
      <c r="G405" s="16">
        <f t="shared" si="1"/>
        <v>133.698164</v>
      </c>
      <c r="H405" s="16"/>
      <c r="I405" s="17">
        <v>140.949999999953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ht="15.75" customHeight="1">
      <c r="A406" s="16"/>
      <c r="B406" s="16"/>
      <c r="C406" s="16"/>
      <c r="D406" s="16" t="s">
        <v>403</v>
      </c>
      <c r="E406" s="17">
        <v>131.109665720501</v>
      </c>
      <c r="F406" s="21">
        <f>Tabelle1!E405-Hoja1!E406</f>
        <v>-131.850058</v>
      </c>
      <c r="G406" s="16">
        <f t="shared" si="1"/>
        <v>131.850058</v>
      </c>
      <c r="H406" s="16"/>
      <c r="I406" s="17">
        <v>140.25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ht="15.75" customHeight="1">
      <c r="A407" s="16"/>
      <c r="B407" s="16"/>
      <c r="C407" s="16"/>
      <c r="D407" s="16" t="s">
        <v>404</v>
      </c>
      <c r="E407" s="17">
        <v>127.469398904681</v>
      </c>
      <c r="F407" s="21">
        <f>Tabelle1!E406-Hoja1!E407</f>
        <v>-128.2097912</v>
      </c>
      <c r="G407" s="16">
        <f t="shared" si="1"/>
        <v>128.2097912</v>
      </c>
      <c r="H407" s="16"/>
      <c r="I407" s="17">
        <v>138.420000000041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ht="15.75" customHeight="1">
      <c r="A408" s="16"/>
      <c r="B408" s="16"/>
      <c r="C408" s="16"/>
      <c r="D408" s="16" t="s">
        <v>405</v>
      </c>
      <c r="E408" s="17">
        <v>120.092682637769</v>
      </c>
      <c r="F408" s="21">
        <f>Tabelle1!E407-Hoja1!E408</f>
        <v>-120.8330749</v>
      </c>
      <c r="G408" s="16">
        <f t="shared" si="1"/>
        <v>120.8330749</v>
      </c>
      <c r="H408" s="16"/>
      <c r="I408" s="17">
        <v>128.639999999955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ht="15.75" customHeight="1">
      <c r="A409" s="16"/>
      <c r="B409" s="16"/>
      <c r="C409" s="16"/>
      <c r="D409" s="16" t="s">
        <v>406</v>
      </c>
      <c r="E409" s="17">
        <v>109.470001924799</v>
      </c>
      <c r="F409" s="21">
        <f>Tabelle1!E408-Hoja1!E409</f>
        <v>-110.2103942</v>
      </c>
      <c r="G409" s="16">
        <f t="shared" si="1"/>
        <v>110.2103942</v>
      </c>
      <c r="H409" s="16"/>
      <c r="I409" s="17">
        <v>106.830000000016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ht="15.75" customHeight="1">
      <c r="A410" s="16"/>
      <c r="B410" s="16"/>
      <c r="C410" s="16"/>
      <c r="D410" s="16" t="s">
        <v>407</v>
      </c>
      <c r="E410" s="17">
        <v>79.2360720003774</v>
      </c>
      <c r="F410" s="21">
        <f>Tabelle1!E409-Hoja1!E410</f>
        <v>-79.88603717</v>
      </c>
      <c r="G410" s="16">
        <f t="shared" si="1"/>
        <v>79.88603717</v>
      </c>
      <c r="H410" s="16"/>
      <c r="I410" s="17">
        <v>90.8900000000139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ht="15.75" customHeight="1">
      <c r="A411" s="16"/>
      <c r="B411" s="16"/>
      <c r="C411" s="16"/>
      <c r="D411" s="16" t="s">
        <v>408</v>
      </c>
      <c r="E411" s="17">
        <v>36.9615256724181</v>
      </c>
      <c r="F411" s="16">
        <f>Tabelle1!E410-Hoja1!E411</f>
        <v>-37.20900483</v>
      </c>
      <c r="G411" s="16">
        <f t="shared" si="1"/>
        <v>37.20900483</v>
      </c>
      <c r="H411" s="16"/>
      <c r="I411" s="17">
        <v>48.3800000000046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ht="15.75" customHeight="1">
      <c r="A412" s="16"/>
      <c r="B412" s="16"/>
      <c r="C412" s="16"/>
      <c r="D412" s="16" t="s">
        <v>409</v>
      </c>
      <c r="E412" s="17">
        <v>13.9518864595638</v>
      </c>
      <c r="F412" s="16">
        <f>Tabelle1!E411-Hoja1!E412</f>
        <v>-13.96219913</v>
      </c>
      <c r="G412" s="16">
        <f t="shared" si="1"/>
        <v>13.96219913</v>
      </c>
      <c r="H412" s="16"/>
      <c r="I412" s="17">
        <v>11.219999999972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ht="15.75" customHeight="1">
      <c r="A413" s="16"/>
      <c r="B413" s="16"/>
      <c r="C413" s="16"/>
      <c r="D413" s="16" t="s">
        <v>410</v>
      </c>
      <c r="E413" s="17">
        <v>0.0</v>
      </c>
      <c r="F413" s="16">
        <f>Tabelle1!E412-Hoja1!E413</f>
        <v>0.156024</v>
      </c>
      <c r="G413" s="16">
        <f t="shared" si="1"/>
        <v>0.156024</v>
      </c>
      <c r="H413" s="16"/>
      <c r="I413" s="17">
        <v>0.380000000004656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ht="15.75" customHeight="1">
      <c r="A414" s="16"/>
      <c r="B414" s="16"/>
      <c r="C414" s="16"/>
      <c r="D414" s="16" t="s">
        <v>411</v>
      </c>
      <c r="E414" s="17">
        <v>0.0</v>
      </c>
      <c r="F414" s="16">
        <f>Tabelle1!E413-Hoja1!E414</f>
        <v>0.16448146</v>
      </c>
      <c r="G414" s="16">
        <f t="shared" si="1"/>
        <v>0.16448146</v>
      </c>
      <c r="H414" s="16"/>
      <c r="I414" s="17">
        <v>0.0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ht="15.75" customHeight="1">
      <c r="A415" s="16"/>
      <c r="B415" s="16"/>
      <c r="C415" s="16"/>
      <c r="D415" s="16" t="s">
        <v>412</v>
      </c>
      <c r="E415" s="17">
        <v>0.0</v>
      </c>
      <c r="F415" s="16">
        <f>Tabelle1!E414-Hoja1!E415</f>
        <v>0.16448146</v>
      </c>
      <c r="G415" s="16">
        <f t="shared" si="1"/>
        <v>0.16448146</v>
      </c>
      <c r="H415" s="16"/>
      <c r="I415" s="17">
        <v>0.0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ht="15.75" customHeight="1">
      <c r="A416" s="16"/>
      <c r="B416" s="16"/>
      <c r="C416" s="16"/>
      <c r="D416" s="16" t="s">
        <v>413</v>
      </c>
      <c r="E416" s="17">
        <v>0.0</v>
      </c>
      <c r="F416" s="16">
        <f>Tabelle1!E415-Hoja1!E416</f>
        <v>0.09349357</v>
      </c>
      <c r="G416" s="16">
        <f t="shared" si="1"/>
        <v>0.09349357</v>
      </c>
      <c r="H416" s="16"/>
      <c r="I416" s="17">
        <v>0.0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ht="15.75" customHeight="1">
      <c r="A417" s="16"/>
      <c r="B417" s="16"/>
      <c r="C417" s="16"/>
      <c r="D417" s="16" t="s">
        <v>414</v>
      </c>
      <c r="E417" s="17">
        <v>0.0</v>
      </c>
      <c r="F417" s="16">
        <f>Tabelle1!E416-Hoja1!E417</f>
        <v>0.09349357</v>
      </c>
      <c r="G417" s="16">
        <f t="shared" si="1"/>
        <v>0.09349357</v>
      </c>
      <c r="H417" s="16"/>
      <c r="I417" s="17">
        <v>0.0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ht="15.75" customHeight="1">
      <c r="A418" s="16"/>
      <c r="B418" s="16"/>
      <c r="C418" s="16"/>
      <c r="D418" s="16" t="s">
        <v>415</v>
      </c>
      <c r="E418" s="17">
        <v>0.0</v>
      </c>
      <c r="F418" s="16">
        <f>Tabelle1!E417-Hoja1!E418</f>
        <v>0.09349357</v>
      </c>
      <c r="G418" s="16">
        <f t="shared" si="1"/>
        <v>0.09349357</v>
      </c>
      <c r="H418" s="16"/>
      <c r="I418" s="17">
        <v>0.0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ht="15.75" customHeight="1">
      <c r="A419" s="16"/>
      <c r="B419" s="16"/>
      <c r="C419" s="16"/>
      <c r="D419" s="16" t="s">
        <v>416</v>
      </c>
      <c r="E419" s="17">
        <v>0.0</v>
      </c>
      <c r="F419" s="20">
        <f>Tabelle1!E418-Hoja1!E419</f>
        <v>0.09349357</v>
      </c>
      <c r="G419" s="16">
        <f t="shared" si="1"/>
        <v>0.09349357</v>
      </c>
      <c r="H419" s="16"/>
      <c r="I419" s="17">
        <v>0.0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ht="15.75" customHeight="1">
      <c r="A420" s="16"/>
      <c r="B420" s="16"/>
      <c r="C420" s="16"/>
      <c r="D420" s="16" t="s">
        <v>417</v>
      </c>
      <c r="E420" s="17">
        <v>0.0</v>
      </c>
      <c r="F420" s="20">
        <f>Tabelle1!E419-Hoja1!E420</f>
        <v>0.09349357</v>
      </c>
      <c r="G420" s="16">
        <f t="shared" si="1"/>
        <v>0.09349357</v>
      </c>
      <c r="H420" s="16"/>
      <c r="I420" s="17">
        <v>0.0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ht="15.75" customHeight="1">
      <c r="A421" s="16"/>
      <c r="B421" s="16"/>
      <c r="C421" s="16"/>
      <c r="D421" s="16" t="s">
        <v>418</v>
      </c>
      <c r="E421" s="17">
        <v>0.0</v>
      </c>
      <c r="F421" s="20">
        <f>Tabelle1!E420-Hoja1!E421</f>
        <v>0.09349357</v>
      </c>
      <c r="G421" s="16">
        <f t="shared" si="1"/>
        <v>0.09349357</v>
      </c>
      <c r="H421" s="16"/>
      <c r="I421" s="17">
        <v>0.0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ht="15.75" customHeight="1">
      <c r="A422" s="16"/>
      <c r="B422" s="16"/>
      <c r="C422" s="16"/>
      <c r="D422" s="16" t="s">
        <v>419</v>
      </c>
      <c r="E422" s="17">
        <v>0.0</v>
      </c>
      <c r="F422" s="20">
        <f>Tabelle1!E421-Hoja1!E422</f>
        <v>0.09349357</v>
      </c>
      <c r="G422" s="16">
        <f t="shared" si="1"/>
        <v>0.09349357</v>
      </c>
      <c r="H422" s="16"/>
      <c r="I422" s="17">
        <v>0.0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ht="15.75" customHeight="1">
      <c r="A423" s="16"/>
      <c r="B423" s="16"/>
      <c r="C423" s="16"/>
      <c r="D423" s="16" t="s">
        <v>420</v>
      </c>
      <c r="E423" s="17">
        <v>0.0</v>
      </c>
      <c r="F423" s="20">
        <f>Tabelle1!E422-Hoja1!E423</f>
        <v>0.09349357</v>
      </c>
      <c r="G423" s="16">
        <f t="shared" si="1"/>
        <v>0.09349357</v>
      </c>
      <c r="H423" s="16"/>
      <c r="I423" s="17">
        <v>0.0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ht="15.75" customHeight="1">
      <c r="A424" s="16"/>
      <c r="B424" s="16"/>
      <c r="C424" s="16"/>
      <c r="D424" s="16" t="s">
        <v>421</v>
      </c>
      <c r="E424" s="17">
        <v>0.0</v>
      </c>
      <c r="F424" s="16">
        <f>Tabelle1!E423-Hoja1!E424</f>
        <v>0.09349357</v>
      </c>
      <c r="G424" s="16">
        <f t="shared" si="1"/>
        <v>0.09349357</v>
      </c>
      <c r="H424" s="16"/>
      <c r="I424" s="17">
        <v>0.0700000000069849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ht="15.75" customHeight="1">
      <c r="A425" s="16"/>
      <c r="B425" s="16"/>
      <c r="C425" s="16"/>
      <c r="D425" s="16" t="s">
        <v>422</v>
      </c>
      <c r="E425" s="17">
        <v>5.06268424979166</v>
      </c>
      <c r="F425" s="21">
        <f>Tabelle1!E424-Hoja1!E425</f>
        <v>-4.87976625</v>
      </c>
      <c r="G425" s="16">
        <f t="shared" si="1"/>
        <v>4.87976625</v>
      </c>
      <c r="H425" s="16"/>
      <c r="I425" s="17">
        <v>5.45000000001164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ht="15.75" customHeight="1">
      <c r="A426" s="16"/>
      <c r="B426" s="16"/>
      <c r="C426" s="16"/>
      <c r="D426" s="16" t="s">
        <v>423</v>
      </c>
      <c r="E426" s="17">
        <v>29.7436684864451</v>
      </c>
      <c r="F426" s="21">
        <f>Tabelle1!E425-Hoja1!E426</f>
        <v>-30.08666829</v>
      </c>
      <c r="G426" s="16">
        <f t="shared" si="1"/>
        <v>30.08666829</v>
      </c>
      <c r="H426" s="16"/>
      <c r="I426" s="17">
        <v>35.7100000000209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ht="15.75" customHeight="1">
      <c r="A427" s="16"/>
      <c r="B427" s="16"/>
      <c r="C427" s="16"/>
      <c r="D427" s="16" t="s">
        <v>424</v>
      </c>
      <c r="E427" s="17">
        <v>54.8691067868971</v>
      </c>
      <c r="F427" s="21">
        <f>Tabelle1!E426-Hoja1!E427</f>
        <v>-55.60949909</v>
      </c>
      <c r="G427" s="16">
        <f t="shared" si="1"/>
        <v>55.60949909</v>
      </c>
      <c r="H427" s="16"/>
      <c r="I427" s="17">
        <v>79.9599999999627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ht="15.75" customHeight="1">
      <c r="A428" s="16"/>
      <c r="B428" s="16"/>
      <c r="C428" s="16"/>
      <c r="D428" s="16" t="s">
        <v>425</v>
      </c>
      <c r="E428" s="17">
        <v>96.5980726355499</v>
      </c>
      <c r="F428" s="21">
        <f>Tabelle1!E427-Hoja1!E428</f>
        <v>-97.33846494</v>
      </c>
      <c r="G428" s="16">
        <f t="shared" si="1"/>
        <v>97.33846494</v>
      </c>
      <c r="H428" s="16"/>
      <c r="I428" s="17">
        <v>116.059999999997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ht="15.75" customHeight="1">
      <c r="A429" s="16"/>
      <c r="B429" s="16"/>
      <c r="C429" s="16"/>
      <c r="D429" s="16" t="s">
        <v>426</v>
      </c>
      <c r="E429" s="17">
        <v>124.622271899407</v>
      </c>
      <c r="F429" s="21">
        <f>Tabelle1!E428-Hoja1!E429</f>
        <v>-125.3626642</v>
      </c>
      <c r="G429" s="16">
        <f t="shared" si="1"/>
        <v>125.3626642</v>
      </c>
      <c r="H429" s="16"/>
      <c r="I429" s="17">
        <v>132.71000000002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ht="15.75" customHeight="1">
      <c r="A430" s="16"/>
      <c r="B430" s="16"/>
      <c r="C430" s="16"/>
      <c r="D430" s="16" t="s">
        <v>427</v>
      </c>
      <c r="E430" s="17">
        <v>124.1441641939</v>
      </c>
      <c r="F430" s="21">
        <f>Tabelle1!E429-Hoja1!E430</f>
        <v>-124.8845565</v>
      </c>
      <c r="G430" s="16">
        <f t="shared" si="1"/>
        <v>124.8845565</v>
      </c>
      <c r="H430" s="16"/>
      <c r="I430" s="17">
        <v>133.23999999999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ht="15.75" customHeight="1">
      <c r="A431" s="16"/>
      <c r="B431" s="16"/>
      <c r="C431" s="16"/>
      <c r="D431" s="16" t="s">
        <v>428</v>
      </c>
      <c r="E431" s="17">
        <v>123.60774542709</v>
      </c>
      <c r="F431" s="21">
        <f>Tabelle1!E430-Hoja1!E431</f>
        <v>-124.3481377</v>
      </c>
      <c r="G431" s="16">
        <f t="shared" si="1"/>
        <v>124.3481377</v>
      </c>
      <c r="H431" s="16"/>
      <c r="I431" s="17">
        <v>108.770000000018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ht="15.75" customHeight="1">
      <c r="A432" s="16"/>
      <c r="B432" s="16"/>
      <c r="C432" s="16"/>
      <c r="D432" s="16" t="s">
        <v>429</v>
      </c>
      <c r="E432" s="17">
        <v>118.411381020181</v>
      </c>
      <c r="F432" s="21">
        <f>Tabelle1!E431-Hoja1!E432</f>
        <v>-119.1517733</v>
      </c>
      <c r="G432" s="16">
        <f t="shared" si="1"/>
        <v>119.1517733</v>
      </c>
      <c r="H432" s="16"/>
      <c r="I432" s="17">
        <v>106.940000000002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ht="15.75" customHeight="1">
      <c r="A433" s="16"/>
      <c r="B433" s="16"/>
      <c r="C433" s="16"/>
      <c r="D433" s="16" t="s">
        <v>430</v>
      </c>
      <c r="E433" s="17">
        <v>108.359745295971</v>
      </c>
      <c r="F433" s="21">
        <f>Tabelle1!E432-Hoja1!E433</f>
        <v>-109.1001376</v>
      </c>
      <c r="G433" s="16">
        <f t="shared" si="1"/>
        <v>109.1001376</v>
      </c>
      <c r="H433" s="16"/>
      <c r="I433" s="17">
        <v>102.320000000006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ht="15.75" customHeight="1">
      <c r="A434" s="16"/>
      <c r="B434" s="16"/>
      <c r="C434" s="16"/>
      <c r="D434" s="16" t="s">
        <v>431</v>
      </c>
      <c r="E434" s="17">
        <v>77.1483506863629</v>
      </c>
      <c r="F434" s="21">
        <f>Tabelle1!E433-Hoja1!E434</f>
        <v>-77.79831586</v>
      </c>
      <c r="G434" s="16">
        <f t="shared" si="1"/>
        <v>77.79831586</v>
      </c>
      <c r="H434" s="16"/>
      <c r="I434" s="17">
        <v>86.6699999999837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ht="15.75" customHeight="1">
      <c r="A435" s="16"/>
      <c r="B435" s="16"/>
      <c r="C435" s="16"/>
      <c r="D435" s="16" t="s">
        <v>432</v>
      </c>
      <c r="E435" s="17">
        <v>36.7852666544577</v>
      </c>
      <c r="F435" s="16">
        <f>Tabelle1!E434-Hoja1!E435</f>
        <v>-37.03274581</v>
      </c>
      <c r="G435" s="16">
        <f t="shared" si="1"/>
        <v>37.03274581</v>
      </c>
      <c r="H435" s="16"/>
      <c r="I435" s="17">
        <v>44.8200000000069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ht="15.75" customHeight="1">
      <c r="A436" s="16"/>
      <c r="B436" s="16"/>
      <c r="C436" s="16"/>
      <c r="D436" s="16" t="s">
        <v>433</v>
      </c>
      <c r="E436" s="17">
        <v>13.9234974921476</v>
      </c>
      <c r="F436" s="16">
        <f>Tabelle1!E435-Hoja1!E436</f>
        <v>-13.93381016</v>
      </c>
      <c r="G436" s="16">
        <f t="shared" si="1"/>
        <v>13.93381016</v>
      </c>
      <c r="H436" s="16"/>
      <c r="I436" s="17">
        <v>10.0100000000093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ht="15.75" customHeight="1">
      <c r="A437" s="16"/>
      <c r="B437" s="16"/>
      <c r="C437" s="16"/>
      <c r="D437" s="16" t="s">
        <v>434</v>
      </c>
      <c r="E437" s="17">
        <v>0.0</v>
      </c>
      <c r="F437" s="16">
        <f>Tabelle1!E436-Hoja1!E437</f>
        <v>0.156024</v>
      </c>
      <c r="G437" s="16">
        <f t="shared" si="1"/>
        <v>0.156024</v>
      </c>
      <c r="H437" s="16"/>
      <c r="I437" s="17">
        <v>0.239999999990686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ht="15.75" customHeight="1">
      <c r="A438" s="16"/>
      <c r="B438" s="16"/>
      <c r="C438" s="16"/>
      <c r="D438" s="16" t="s">
        <v>435</v>
      </c>
      <c r="E438" s="17">
        <v>0.0</v>
      </c>
      <c r="F438" s="16">
        <f>Tabelle1!E437-Hoja1!E438</f>
        <v>0.16448146</v>
      </c>
      <c r="G438" s="16">
        <f t="shared" si="1"/>
        <v>0.16448146</v>
      </c>
      <c r="H438" s="16"/>
      <c r="I438" s="17">
        <v>0.0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ht="15.75" customHeight="1">
      <c r="A439" s="16"/>
      <c r="B439" s="16"/>
      <c r="C439" s="16"/>
      <c r="D439" s="16" t="s">
        <v>436</v>
      </c>
      <c r="E439" s="17">
        <v>0.0</v>
      </c>
      <c r="F439" s="16">
        <f>Tabelle1!E438-Hoja1!E439</f>
        <v>0.16448146</v>
      </c>
      <c r="G439" s="16">
        <f t="shared" si="1"/>
        <v>0.16448146</v>
      </c>
      <c r="H439" s="16"/>
      <c r="I439" s="17">
        <v>0.0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ht="15.75" customHeight="1">
      <c r="A440" s="16"/>
      <c r="B440" s="16"/>
      <c r="C440" s="16"/>
      <c r="D440" s="16" t="s">
        <v>437</v>
      </c>
      <c r="E440" s="17">
        <v>0.0</v>
      </c>
      <c r="F440" s="20">
        <f>Tabelle1!E439-Hoja1!E440</f>
        <v>0.09349357</v>
      </c>
      <c r="G440" s="16">
        <f t="shared" si="1"/>
        <v>0.09349357</v>
      </c>
      <c r="H440" s="16"/>
      <c r="I440" s="17">
        <v>0.0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ht="15.75" customHeight="1">
      <c r="A441" s="16"/>
      <c r="B441" s="16"/>
      <c r="C441" s="16"/>
      <c r="D441" s="16" t="s">
        <v>438</v>
      </c>
      <c r="E441" s="17">
        <v>0.0</v>
      </c>
      <c r="F441" s="20">
        <f>Tabelle1!E440-Hoja1!E441</f>
        <v>0.09349357</v>
      </c>
      <c r="G441" s="16">
        <f t="shared" si="1"/>
        <v>0.09349357</v>
      </c>
      <c r="H441" s="16"/>
      <c r="I441" s="17">
        <v>0.0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ht="15.75" customHeight="1">
      <c r="A442" s="16"/>
      <c r="B442" s="16"/>
      <c r="C442" s="16"/>
      <c r="D442" s="16" t="s">
        <v>439</v>
      </c>
      <c r="E442" s="17">
        <v>0.0</v>
      </c>
      <c r="F442" s="20">
        <f>Tabelle1!E441-Hoja1!E442</f>
        <v>0.09349357</v>
      </c>
      <c r="G442" s="16">
        <f t="shared" si="1"/>
        <v>0.09349357</v>
      </c>
      <c r="H442" s="16"/>
      <c r="I442" s="17">
        <v>0.0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ht="15.75" customHeight="1">
      <c r="A443" s="16"/>
      <c r="B443" s="16"/>
      <c r="C443" s="16"/>
      <c r="D443" s="16" t="s">
        <v>440</v>
      </c>
      <c r="E443" s="17">
        <v>0.0</v>
      </c>
      <c r="F443" s="20">
        <f>Tabelle1!E442-Hoja1!E443</f>
        <v>0.09349357</v>
      </c>
      <c r="G443" s="16">
        <f t="shared" si="1"/>
        <v>0.09349357</v>
      </c>
      <c r="H443" s="16"/>
      <c r="I443" s="17">
        <v>0.0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ht="15.75" customHeight="1">
      <c r="A444" s="16"/>
      <c r="B444" s="16"/>
      <c r="C444" s="16"/>
      <c r="D444" s="16" t="s">
        <v>441</v>
      </c>
      <c r="E444" s="17">
        <v>0.0</v>
      </c>
      <c r="F444" s="20">
        <f>Tabelle1!E443-Hoja1!E444</f>
        <v>0.09349357</v>
      </c>
      <c r="G444" s="16">
        <f t="shared" si="1"/>
        <v>0.09349357</v>
      </c>
      <c r="H444" s="16"/>
      <c r="I444" s="17">
        <v>0.0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ht="15.75" customHeight="1">
      <c r="A445" s="16"/>
      <c r="B445" s="16"/>
      <c r="C445" s="16"/>
      <c r="D445" s="16" t="s">
        <v>442</v>
      </c>
      <c r="E445" s="17">
        <v>0.0</v>
      </c>
      <c r="F445" s="20">
        <f>Tabelle1!E444-Hoja1!E445</f>
        <v>0.09349357</v>
      </c>
      <c r="G445" s="16">
        <f t="shared" si="1"/>
        <v>0.09349357</v>
      </c>
      <c r="H445" s="16"/>
      <c r="I445" s="17">
        <v>0.0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ht="15.75" customHeight="1">
      <c r="A446" s="16"/>
      <c r="B446" s="16"/>
      <c r="C446" s="16"/>
      <c r="D446" s="16" t="s">
        <v>443</v>
      </c>
      <c r="E446" s="17">
        <v>0.0</v>
      </c>
      <c r="F446" s="20">
        <f>Tabelle1!E445-Hoja1!E446</f>
        <v>0.09349357</v>
      </c>
      <c r="G446" s="16">
        <f t="shared" si="1"/>
        <v>0.09349357</v>
      </c>
      <c r="H446" s="16"/>
      <c r="I446" s="17">
        <v>0.0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ht="15.75" customHeight="1">
      <c r="A447" s="16"/>
      <c r="B447" s="16"/>
      <c r="C447" s="16"/>
      <c r="D447" s="16" t="s">
        <v>444</v>
      </c>
      <c r="E447" s="17">
        <v>0.0</v>
      </c>
      <c r="F447" s="20">
        <f>Tabelle1!E446-Hoja1!E447</f>
        <v>0.09349357</v>
      </c>
      <c r="G447" s="16">
        <f t="shared" si="1"/>
        <v>0.09349357</v>
      </c>
      <c r="H447" s="16"/>
      <c r="I447" s="17">
        <v>0.0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ht="15.75" customHeight="1">
      <c r="A448" s="16"/>
      <c r="B448" s="16"/>
      <c r="C448" s="16"/>
      <c r="D448" s="16" t="s">
        <v>445</v>
      </c>
      <c r="E448" s="17">
        <v>0.0</v>
      </c>
      <c r="F448" s="16">
        <f>Tabelle1!E447-Hoja1!E448</f>
        <v>0.09349357</v>
      </c>
      <c r="G448" s="16">
        <f t="shared" si="1"/>
        <v>0.09349357</v>
      </c>
      <c r="H448" s="16"/>
      <c r="I448" s="17">
        <v>0.0399999999790452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ht="15.75" customHeight="1">
      <c r="A449" s="16"/>
      <c r="B449" s="16"/>
      <c r="C449" s="16"/>
      <c r="D449" s="16" t="s">
        <v>446</v>
      </c>
      <c r="E449" s="17">
        <v>5.06268424979166</v>
      </c>
      <c r="F449" s="21">
        <f>Tabelle1!E448-Hoja1!E449</f>
        <v>-4.87976625</v>
      </c>
      <c r="G449" s="16">
        <f t="shared" si="1"/>
        <v>4.87976625</v>
      </c>
      <c r="H449" s="16"/>
      <c r="I449" s="17">
        <v>4.32000000000698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ht="15.75" customHeight="1">
      <c r="A450" s="16"/>
      <c r="B450" s="16"/>
      <c r="C450" s="16"/>
      <c r="D450" s="16" t="s">
        <v>447</v>
      </c>
      <c r="E450" s="17">
        <v>27.4911931266293</v>
      </c>
      <c r="F450" s="21">
        <f>Tabelle1!E449-Hoja1!E450</f>
        <v>-27.83419293</v>
      </c>
      <c r="G450" s="16">
        <f t="shared" si="1"/>
        <v>27.83419293</v>
      </c>
      <c r="H450" s="16"/>
      <c r="I450" s="17">
        <v>27.859999999986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ht="15.75" customHeight="1">
      <c r="A451" s="16"/>
      <c r="B451" s="16"/>
      <c r="C451" s="16"/>
      <c r="D451" s="16" t="s">
        <v>448</v>
      </c>
      <c r="E451" s="17">
        <v>34.4671975142949</v>
      </c>
      <c r="F451" s="16">
        <f>Tabelle1!E450-Hoja1!E451</f>
        <v>-35.20758981</v>
      </c>
      <c r="G451" s="16">
        <f t="shared" si="1"/>
        <v>35.20758981</v>
      </c>
      <c r="H451" s="16"/>
      <c r="I451" s="17">
        <v>59.0200000000186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ht="15.75" customHeight="1">
      <c r="A452" s="16"/>
      <c r="B452" s="16"/>
      <c r="C452" s="16"/>
      <c r="D452" s="16" t="s">
        <v>449</v>
      </c>
      <c r="E452" s="17">
        <v>69.9428230808934</v>
      </c>
      <c r="F452" s="21">
        <f>Tabelle1!E451-Hoja1!E452</f>
        <v>-70.68321538</v>
      </c>
      <c r="G452" s="16">
        <f t="shared" si="1"/>
        <v>70.68321538</v>
      </c>
      <c r="H452" s="16"/>
      <c r="I452" s="17">
        <v>52.6699999999837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ht="15.75" customHeight="1">
      <c r="A453" s="16"/>
      <c r="B453" s="16"/>
      <c r="C453" s="16"/>
      <c r="D453" s="16" t="s">
        <v>450</v>
      </c>
      <c r="E453" s="17">
        <v>102.153718658303</v>
      </c>
      <c r="F453" s="21">
        <f>Tabelle1!E452-Hoja1!E453</f>
        <v>-102.894111</v>
      </c>
      <c r="G453" s="16">
        <f t="shared" si="1"/>
        <v>102.894111</v>
      </c>
      <c r="H453" s="16"/>
      <c r="I453" s="17">
        <v>56.929999999993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ht="15.75" customHeight="1">
      <c r="A454" s="16"/>
      <c r="B454" s="16"/>
      <c r="C454" s="16"/>
      <c r="D454" s="16" t="s">
        <v>451</v>
      </c>
      <c r="E454" s="17">
        <v>116.612120888763</v>
      </c>
      <c r="F454" s="16">
        <f>Tabelle1!E453-Hoja1!E454</f>
        <v>-117.3525132</v>
      </c>
      <c r="G454" s="16">
        <f t="shared" si="1"/>
        <v>117.3525132</v>
      </c>
      <c r="H454" s="16"/>
      <c r="I454" s="17">
        <v>33.1400000000139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ht="15.75" customHeight="1">
      <c r="A455" s="16"/>
      <c r="B455" s="16"/>
      <c r="C455" s="16"/>
      <c r="D455" s="16" t="s">
        <v>452</v>
      </c>
      <c r="E455" s="17">
        <v>116.067292794822</v>
      </c>
      <c r="F455" s="21">
        <f>Tabelle1!E454-Hoja1!E455</f>
        <v>-116.8076851</v>
      </c>
      <c r="G455" s="16">
        <f t="shared" si="1"/>
        <v>116.8076851</v>
      </c>
      <c r="H455" s="16"/>
      <c r="I455" s="17">
        <v>68.609999999986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ht="15.75" customHeight="1">
      <c r="A456" s="16"/>
      <c r="B456" s="16"/>
      <c r="C456" s="16"/>
      <c r="D456" s="16" t="s">
        <v>453</v>
      </c>
      <c r="E456" s="17">
        <v>86.1008637647308</v>
      </c>
      <c r="F456" s="21">
        <f>Tabelle1!E455-Hoja1!E456</f>
        <v>-86.84125606</v>
      </c>
      <c r="G456" s="16">
        <f t="shared" si="1"/>
        <v>86.84125606</v>
      </c>
      <c r="H456" s="16"/>
      <c r="I456" s="17">
        <v>78.7900000000372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ht="15.75" customHeight="1">
      <c r="A457" s="16"/>
      <c r="B457" s="16"/>
      <c r="C457" s="16"/>
      <c r="D457" s="16" t="s">
        <v>454</v>
      </c>
      <c r="E457" s="17">
        <v>46.0228409756372</v>
      </c>
      <c r="F457" s="21">
        <f>Tabelle1!E456-Hoja1!E457</f>
        <v>-46.76323328</v>
      </c>
      <c r="G457" s="16">
        <f t="shared" si="1"/>
        <v>46.76323328</v>
      </c>
      <c r="H457" s="16"/>
      <c r="I457" s="17">
        <v>65.7999999999883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ht="15.75" customHeight="1">
      <c r="A458" s="16"/>
      <c r="B458" s="16"/>
      <c r="C458" s="16"/>
      <c r="D458" s="16" t="s">
        <v>455</v>
      </c>
      <c r="E458" s="17">
        <v>23.8619237859023</v>
      </c>
      <c r="F458" s="21">
        <f>Tabelle1!E457-Hoja1!E458</f>
        <v>-24.51188896</v>
      </c>
      <c r="G458" s="16">
        <f t="shared" si="1"/>
        <v>24.51188896</v>
      </c>
      <c r="H458" s="16"/>
      <c r="I458" s="17">
        <v>18.039999999979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ht="15.75" customHeight="1">
      <c r="A459" s="16"/>
      <c r="B459" s="16"/>
      <c r="C459" s="16"/>
      <c r="D459" s="16" t="s">
        <v>456</v>
      </c>
      <c r="E459" s="17">
        <v>11.918763392503</v>
      </c>
      <c r="F459" s="16">
        <f>Tabelle1!E458-Hoja1!E459</f>
        <v>-12.16624255</v>
      </c>
      <c r="G459" s="16">
        <f t="shared" si="1"/>
        <v>12.16624255</v>
      </c>
      <c r="H459" s="16"/>
      <c r="I459" s="17">
        <v>1.92999999999301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ht="15.75" customHeight="1">
      <c r="A460" s="16"/>
      <c r="B460" s="16"/>
      <c r="C460" s="16"/>
      <c r="D460" s="16" t="s">
        <v>457</v>
      </c>
      <c r="E460" s="17">
        <v>5.69192861694333</v>
      </c>
      <c r="F460" s="16">
        <f>Tabelle1!E459-Hoja1!E460</f>
        <v>-5.702241283</v>
      </c>
      <c r="G460" s="16">
        <f t="shared" si="1"/>
        <v>5.702241283</v>
      </c>
      <c r="H460" s="16"/>
      <c r="I460" s="17">
        <v>0.0500000000465661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ht="15.75" customHeight="1">
      <c r="A461" s="16"/>
      <c r="B461" s="16"/>
      <c r="C461" s="16"/>
      <c r="D461" s="16" t="s">
        <v>458</v>
      </c>
      <c r="E461" s="17">
        <v>0.0</v>
      </c>
      <c r="F461" s="16">
        <f>Tabelle1!E460-Hoja1!E461</f>
        <v>0.156024</v>
      </c>
      <c r="G461" s="16">
        <f t="shared" si="1"/>
        <v>0.156024</v>
      </c>
      <c r="H461" s="16"/>
      <c r="I461" s="17">
        <v>0.0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ht="15.75" customHeight="1">
      <c r="A462" s="16"/>
      <c r="B462" s="16"/>
      <c r="C462" s="16"/>
      <c r="D462" s="16" t="s">
        <v>459</v>
      </c>
      <c r="E462" s="17">
        <v>0.0</v>
      </c>
      <c r="F462" s="16">
        <f>Tabelle1!E461-Hoja1!E462</f>
        <v>0.16448146</v>
      </c>
      <c r="G462" s="16">
        <f t="shared" si="1"/>
        <v>0.16448146</v>
      </c>
      <c r="H462" s="16"/>
      <c r="I462" s="17">
        <v>0.0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ht="15.75" customHeight="1">
      <c r="A463" s="16"/>
      <c r="B463" s="16"/>
      <c r="C463" s="16"/>
      <c r="D463" s="16" t="s">
        <v>460</v>
      </c>
      <c r="E463" s="17">
        <v>0.0</v>
      </c>
      <c r="F463" s="16">
        <f>Tabelle1!E462-Hoja1!E463</f>
        <v>0.16448146</v>
      </c>
      <c r="G463" s="16">
        <f t="shared" si="1"/>
        <v>0.16448146</v>
      </c>
      <c r="H463" s="16"/>
      <c r="I463" s="17">
        <v>0.0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ht="15.75" customHeight="1">
      <c r="A464" s="16"/>
      <c r="B464" s="16"/>
      <c r="C464" s="16"/>
      <c r="D464" s="16" t="s">
        <v>461</v>
      </c>
      <c r="E464" s="17">
        <v>0.0</v>
      </c>
      <c r="F464" s="16">
        <f>Tabelle1!E463-Hoja1!E464</f>
        <v>0.10339576</v>
      </c>
      <c r="G464" s="16">
        <f t="shared" si="1"/>
        <v>0.10339576</v>
      </c>
      <c r="H464" s="16"/>
      <c r="I464" s="17">
        <v>0.0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ht="15.75" customHeight="1">
      <c r="A465" s="16"/>
      <c r="B465" s="16"/>
      <c r="C465" s="16"/>
      <c r="D465" s="16" t="s">
        <v>462</v>
      </c>
      <c r="E465" s="17">
        <v>0.0</v>
      </c>
      <c r="F465" s="20">
        <f>Tabelle1!E464-Hoja1!E465</f>
        <v>0.10339576</v>
      </c>
      <c r="G465" s="16">
        <f t="shared" si="1"/>
        <v>0.10339576</v>
      </c>
      <c r="H465" s="16"/>
      <c r="I465" s="17">
        <v>0.0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ht="15.75" customHeight="1">
      <c r="A466" s="16"/>
      <c r="B466" s="16"/>
      <c r="C466" s="16"/>
      <c r="D466" s="16" t="s">
        <v>463</v>
      </c>
      <c r="E466" s="17">
        <v>0.0</v>
      </c>
      <c r="F466" s="16">
        <f>Tabelle1!E465-Hoja1!E466</f>
        <v>0.10339576</v>
      </c>
      <c r="G466" s="16">
        <f t="shared" si="1"/>
        <v>0.10339576</v>
      </c>
      <c r="H466" s="16"/>
      <c r="I466" s="17">
        <v>0.0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ht="15.75" customHeight="1">
      <c r="A467" s="16"/>
      <c r="B467" s="16"/>
      <c r="C467" s="16"/>
      <c r="D467" s="16" t="s">
        <v>464</v>
      </c>
      <c r="E467" s="17">
        <v>0.0</v>
      </c>
      <c r="F467" s="20">
        <f>Tabelle1!E466-Hoja1!E467</f>
        <v>0.10339576</v>
      </c>
      <c r="G467" s="16">
        <f t="shared" si="1"/>
        <v>0.10339576</v>
      </c>
      <c r="H467" s="16"/>
      <c r="I467" s="17">
        <v>0.0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ht="15.75" customHeight="1">
      <c r="A468" s="16"/>
      <c r="B468" s="16"/>
      <c r="C468" s="16"/>
      <c r="D468" s="16" t="s">
        <v>465</v>
      </c>
      <c r="E468" s="17">
        <v>0.0</v>
      </c>
      <c r="F468" s="20">
        <f>Tabelle1!E467-Hoja1!E468</f>
        <v>0.10339576</v>
      </c>
      <c r="G468" s="16">
        <f t="shared" si="1"/>
        <v>0.10339576</v>
      </c>
      <c r="H468" s="16"/>
      <c r="I468" s="17">
        <v>0.0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ht="15.75" customHeight="1">
      <c r="A469" s="16"/>
      <c r="B469" s="16"/>
      <c r="C469" s="16"/>
      <c r="D469" s="16" t="s">
        <v>466</v>
      </c>
      <c r="E469" s="17">
        <v>0.0</v>
      </c>
      <c r="F469" s="20">
        <f>Tabelle1!E468-Hoja1!E469</f>
        <v>0.10339576</v>
      </c>
      <c r="G469" s="16">
        <f t="shared" si="1"/>
        <v>0.10339576</v>
      </c>
      <c r="H469" s="16"/>
      <c r="I469" s="17">
        <v>0.0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ht="15.75" customHeight="1">
      <c r="A470" s="16"/>
      <c r="B470" s="16"/>
      <c r="C470" s="16"/>
      <c r="D470" s="16" t="s">
        <v>467</v>
      </c>
      <c r="E470" s="17">
        <v>0.0</v>
      </c>
      <c r="F470" s="20">
        <f>Tabelle1!E469-Hoja1!E470</f>
        <v>0.10339576</v>
      </c>
      <c r="G470" s="16">
        <f t="shared" si="1"/>
        <v>0.10339576</v>
      </c>
      <c r="H470" s="16"/>
      <c r="I470" s="17">
        <v>0.0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ht="15.75" customHeight="1">
      <c r="A471" s="16"/>
      <c r="B471" s="16"/>
      <c r="C471" s="16"/>
      <c r="D471" s="16" t="s">
        <v>468</v>
      </c>
      <c r="E471" s="17">
        <v>0.0</v>
      </c>
      <c r="F471" s="20">
        <f>Tabelle1!E470-Hoja1!E471</f>
        <v>0.10339576</v>
      </c>
      <c r="G471" s="16">
        <f t="shared" si="1"/>
        <v>0.10339576</v>
      </c>
      <c r="H471" s="16"/>
      <c r="I471" s="17">
        <v>0.0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ht="15.75" customHeight="1">
      <c r="A472" s="16"/>
      <c r="B472" s="16"/>
      <c r="C472" s="16"/>
      <c r="D472" s="16" t="s">
        <v>469</v>
      </c>
      <c r="E472" s="17">
        <v>0.0</v>
      </c>
      <c r="F472" s="16">
        <f>Tabelle1!E471-Hoja1!E472</f>
        <v>0.10339576</v>
      </c>
      <c r="G472" s="16">
        <f t="shared" si="1"/>
        <v>0.10339576</v>
      </c>
      <c r="H472" s="16"/>
      <c r="I472" s="17">
        <v>0.0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ht="15.75" customHeight="1">
      <c r="A473" s="16"/>
      <c r="B473" s="16"/>
      <c r="C473" s="16"/>
      <c r="D473" s="16" t="s">
        <v>470</v>
      </c>
      <c r="E473" s="17">
        <v>4.81425480337333</v>
      </c>
      <c r="F473" s="21">
        <f>Tabelle1!E472-Hoja1!E473</f>
        <v>-4.621434613</v>
      </c>
      <c r="G473" s="16">
        <f t="shared" si="1"/>
        <v>4.621434613</v>
      </c>
      <c r="H473" s="16"/>
      <c r="I473" s="17">
        <v>2.0099999999511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ht="15.75" customHeight="1">
      <c r="A474" s="16"/>
      <c r="B474" s="16"/>
      <c r="C474" s="16"/>
      <c r="D474" s="16" t="s">
        <v>471</v>
      </c>
      <c r="E474" s="17">
        <v>22.7931308645921</v>
      </c>
      <c r="F474" s="21">
        <f>Tabelle1!E473-Hoja1!E474</f>
        <v>-23.07458706</v>
      </c>
      <c r="G474" s="16">
        <f t="shared" si="1"/>
        <v>23.07458706</v>
      </c>
      <c r="H474" s="16"/>
      <c r="I474" s="17">
        <v>7.77000000001862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ht="15.75" customHeight="1">
      <c r="A475" s="16"/>
      <c r="B475" s="16"/>
      <c r="C475" s="16"/>
      <c r="D475" s="16" t="s">
        <v>472</v>
      </c>
      <c r="E475" s="17">
        <v>70.3121671971878</v>
      </c>
      <c r="F475" s="16">
        <f>Tabelle1!E474-Hoja1!E475</f>
        <v>-70.9782262</v>
      </c>
      <c r="G475" s="16">
        <f t="shared" si="1"/>
        <v>70.9782262</v>
      </c>
      <c r="H475" s="16"/>
      <c r="I475" s="17">
        <v>14.5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ht="15.75" customHeight="1">
      <c r="A476" s="16"/>
      <c r="B476" s="16"/>
      <c r="C476" s="16"/>
      <c r="D476" s="16" t="s">
        <v>473</v>
      </c>
      <c r="E476" s="17">
        <v>73.8983667715919</v>
      </c>
      <c r="F476" s="21">
        <f>Tabelle1!E475-Hoja1!E476</f>
        <v>-74.56442577</v>
      </c>
      <c r="G476" s="16">
        <f t="shared" si="1"/>
        <v>74.56442577</v>
      </c>
      <c r="H476" s="16"/>
      <c r="I476" s="17">
        <v>21.5100000000093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ht="15.75" customHeight="1">
      <c r="A477" s="16"/>
      <c r="B477" s="16"/>
      <c r="C477" s="16"/>
      <c r="D477" s="16" t="s">
        <v>474</v>
      </c>
      <c r="E477" s="17">
        <v>77.2154635927015</v>
      </c>
      <c r="F477" s="21">
        <f>Tabelle1!E476-Hoja1!E477</f>
        <v>-77.88152259</v>
      </c>
      <c r="G477" s="16">
        <f t="shared" si="1"/>
        <v>77.88152259</v>
      </c>
      <c r="H477" s="16"/>
      <c r="I477" s="17">
        <v>64.719999999972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ht="15.75" customHeight="1">
      <c r="A478" s="16"/>
      <c r="B478" s="16"/>
      <c r="C478" s="16"/>
      <c r="D478" s="16" t="s">
        <v>475</v>
      </c>
      <c r="E478" s="17">
        <v>107.728828229561</v>
      </c>
      <c r="F478" s="21">
        <f>Tabelle1!E477-Hoja1!E478</f>
        <v>-108.3948872</v>
      </c>
      <c r="G478" s="16">
        <f t="shared" si="1"/>
        <v>108.3948872</v>
      </c>
      <c r="H478" s="16"/>
      <c r="I478" s="17">
        <v>78.6700000000419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ht="15.75" customHeight="1">
      <c r="A479" s="16"/>
      <c r="B479" s="16"/>
      <c r="C479" s="16"/>
      <c r="D479" s="16" t="s">
        <v>476</v>
      </c>
      <c r="E479" s="17">
        <v>117.797838367223</v>
      </c>
      <c r="F479" s="21">
        <f>Tabelle1!E478-Hoja1!E479</f>
        <v>-118.4638974</v>
      </c>
      <c r="G479" s="16">
        <f t="shared" si="1"/>
        <v>118.4638974</v>
      </c>
      <c r="H479" s="16"/>
      <c r="I479" s="17">
        <v>82.8499999999767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ht="15.75" customHeight="1">
      <c r="A480" s="16"/>
      <c r="B480" s="16"/>
      <c r="C480" s="16"/>
      <c r="D480" s="16" t="s">
        <v>477</v>
      </c>
      <c r="E480" s="17">
        <v>100.975158535124</v>
      </c>
      <c r="F480" s="21">
        <f>Tabelle1!E479-Hoja1!E480</f>
        <v>-101.6412175</v>
      </c>
      <c r="G480" s="16">
        <f t="shared" si="1"/>
        <v>101.6412175</v>
      </c>
      <c r="H480" s="16"/>
      <c r="I480" s="17">
        <v>83.5999999999767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ht="15.75" customHeight="1">
      <c r="A481" s="16"/>
      <c r="B481" s="16"/>
      <c r="C481" s="16"/>
      <c r="D481" s="16" t="s">
        <v>478</v>
      </c>
      <c r="E481" s="17">
        <v>29.2201780930756</v>
      </c>
      <c r="F481" s="21">
        <f>Tabelle1!E480-Hoja1!E481</f>
        <v>-29.88623709</v>
      </c>
      <c r="G481" s="16">
        <f t="shared" si="1"/>
        <v>29.88623709</v>
      </c>
      <c r="H481" s="16"/>
      <c r="I481" s="17">
        <v>41.1400000000139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ht="15.75" customHeight="1">
      <c r="A482" s="16"/>
      <c r="B482" s="16"/>
      <c r="C482" s="16"/>
      <c r="D482" s="16" t="s">
        <v>479</v>
      </c>
      <c r="E482" s="17">
        <v>24.6902824878602</v>
      </c>
      <c r="F482" s="16">
        <f>Tabelle1!E481-Hoja1!E482</f>
        <v>-25.26591435</v>
      </c>
      <c r="G482" s="16">
        <f t="shared" si="1"/>
        <v>25.26591435</v>
      </c>
      <c r="H482" s="16"/>
      <c r="I482" s="17">
        <v>33.8800000000046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ht="15.75" customHeight="1">
      <c r="A483" s="16"/>
      <c r="B483" s="16"/>
      <c r="C483" s="16"/>
      <c r="D483" s="16" t="s">
        <v>480</v>
      </c>
      <c r="E483" s="17">
        <v>14.508948800964</v>
      </c>
      <c r="F483" s="16">
        <f>Tabelle1!E482-Hoja1!E483</f>
        <v>-14.6820947</v>
      </c>
      <c r="G483" s="16">
        <f t="shared" si="1"/>
        <v>14.6820947</v>
      </c>
      <c r="H483" s="16"/>
      <c r="I483" s="17">
        <v>16.929999999993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ht="15.75" customHeight="1">
      <c r="A484" s="16"/>
      <c r="B484" s="16"/>
      <c r="C484" s="16"/>
      <c r="D484" s="16" t="s">
        <v>481</v>
      </c>
      <c r="E484" s="17">
        <v>4.15717901149615</v>
      </c>
      <c r="F484" s="16">
        <f>Tabelle1!E483-Hoja1!E484</f>
        <v>-4.093158467</v>
      </c>
      <c r="G484" s="16">
        <f t="shared" si="1"/>
        <v>4.093158467</v>
      </c>
      <c r="H484" s="16"/>
      <c r="I484" s="17">
        <v>7.72000000003026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ht="15.75" customHeight="1">
      <c r="A485" s="16"/>
      <c r="B485" s="16"/>
      <c r="C485" s="16"/>
      <c r="D485" s="16" t="s">
        <v>482</v>
      </c>
      <c r="E485" s="17">
        <v>0.0</v>
      </c>
      <c r="F485" s="16">
        <f>Tabelle1!E484-Hoja1!E485</f>
        <v>0.17871587</v>
      </c>
      <c r="G485" s="16">
        <f t="shared" si="1"/>
        <v>0.17871587</v>
      </c>
      <c r="H485" s="16"/>
      <c r="I485" s="17">
        <v>0.130000000004656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ht="15.75" customHeight="1">
      <c r="A486" s="16"/>
      <c r="B486" s="16"/>
      <c r="C486" s="16"/>
      <c r="D486" s="16" t="s">
        <v>483</v>
      </c>
      <c r="E486" s="17">
        <v>0.0</v>
      </c>
      <c r="F486" s="16">
        <f>Tabelle1!E485-Hoja1!E486</f>
        <v>0.18717334</v>
      </c>
      <c r="G486" s="16">
        <f t="shared" si="1"/>
        <v>0.18717334</v>
      </c>
      <c r="H486" s="16"/>
      <c r="I486" s="17">
        <v>0.0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ht="15.75" customHeight="1">
      <c r="A487" s="16"/>
      <c r="B487" s="16"/>
      <c r="C487" s="16"/>
      <c r="D487" s="16" t="s">
        <v>484</v>
      </c>
      <c r="E487" s="17">
        <v>0.0</v>
      </c>
      <c r="F487" s="16">
        <f>Tabelle1!E486-Hoja1!E487</f>
        <v>0.18717334</v>
      </c>
      <c r="G487" s="16">
        <f t="shared" si="1"/>
        <v>0.18717334</v>
      </c>
      <c r="H487" s="16"/>
      <c r="I487" s="17">
        <v>0.0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ht="15.75" customHeight="1">
      <c r="A488" s="16"/>
      <c r="B488" s="16"/>
      <c r="C488" s="16"/>
      <c r="D488" s="16" t="s">
        <v>485</v>
      </c>
      <c r="E488" s="17">
        <v>0.0</v>
      </c>
      <c r="F488" s="16">
        <f>Tabelle1!E487-Hoja1!E488</f>
        <v>0.10352066</v>
      </c>
      <c r="G488" s="16">
        <f t="shared" si="1"/>
        <v>0.10352066</v>
      </c>
      <c r="H488" s="16"/>
      <c r="I488" s="17">
        <v>0.0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ht="15.75" customHeight="1">
      <c r="A489" s="16"/>
      <c r="B489" s="16"/>
      <c r="C489" s="16"/>
      <c r="D489" s="16" t="s">
        <v>486</v>
      </c>
      <c r="E489" s="17">
        <v>0.0</v>
      </c>
      <c r="F489" s="20">
        <f>Tabelle1!E488-Hoja1!E489</f>
        <v>0.10352066</v>
      </c>
      <c r="G489" s="16">
        <f t="shared" si="1"/>
        <v>0.10352066</v>
      </c>
      <c r="H489" s="16"/>
      <c r="I489" s="17">
        <v>0.0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ht="15.75" customHeight="1">
      <c r="A490" s="16"/>
      <c r="B490" s="16"/>
      <c r="C490" s="16"/>
      <c r="D490" s="16" t="s">
        <v>487</v>
      </c>
      <c r="E490" s="17">
        <v>0.0</v>
      </c>
      <c r="F490" s="16">
        <f>Tabelle1!E489-Hoja1!E490</f>
        <v>0.10352066</v>
      </c>
      <c r="G490" s="16">
        <f t="shared" si="1"/>
        <v>0.10352066</v>
      </c>
      <c r="H490" s="16"/>
      <c r="I490" s="17">
        <v>0.0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ht="15.75" customHeight="1">
      <c r="A491" s="16"/>
      <c r="B491" s="16"/>
      <c r="C491" s="16"/>
      <c r="D491" s="16" t="s">
        <v>488</v>
      </c>
      <c r="E491" s="17">
        <v>0.0</v>
      </c>
      <c r="F491" s="20">
        <f>Tabelle1!E490-Hoja1!E491</f>
        <v>0.10352066</v>
      </c>
      <c r="G491" s="16">
        <f t="shared" si="1"/>
        <v>0.10352066</v>
      </c>
      <c r="H491" s="16"/>
      <c r="I491" s="17">
        <v>0.0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ht="15.75" customHeight="1">
      <c r="A492" s="16"/>
      <c r="B492" s="16"/>
      <c r="C492" s="16"/>
      <c r="D492" s="16" t="s">
        <v>489</v>
      </c>
      <c r="E492" s="17">
        <v>0.0</v>
      </c>
      <c r="F492" s="20">
        <f>Tabelle1!E491-Hoja1!E492</f>
        <v>0.10352066</v>
      </c>
      <c r="G492" s="16">
        <f t="shared" si="1"/>
        <v>0.10352066</v>
      </c>
      <c r="H492" s="16"/>
      <c r="I492" s="17">
        <v>0.0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ht="15.75" customHeight="1">
      <c r="A493" s="16"/>
      <c r="B493" s="16"/>
      <c r="C493" s="16"/>
      <c r="D493" s="16" t="s">
        <v>490</v>
      </c>
      <c r="E493" s="17">
        <v>0.0</v>
      </c>
      <c r="F493" s="20">
        <f>Tabelle1!E492-Hoja1!E493</f>
        <v>0.10352066</v>
      </c>
      <c r="G493" s="16">
        <f t="shared" si="1"/>
        <v>0.10352066</v>
      </c>
      <c r="H493" s="16"/>
      <c r="I493" s="17">
        <v>0.0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ht="15.75" customHeight="1">
      <c r="A494" s="16"/>
      <c r="B494" s="16"/>
      <c r="C494" s="16"/>
      <c r="D494" s="16" t="s">
        <v>491</v>
      </c>
      <c r="E494" s="17">
        <v>0.0</v>
      </c>
      <c r="F494" s="20">
        <f>Tabelle1!E493-Hoja1!E494</f>
        <v>0.10352066</v>
      </c>
      <c r="G494" s="16">
        <f t="shared" si="1"/>
        <v>0.10352066</v>
      </c>
      <c r="H494" s="16"/>
      <c r="I494" s="17">
        <v>0.0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ht="15.75" customHeight="1">
      <c r="A495" s="16"/>
      <c r="B495" s="16"/>
      <c r="C495" s="16"/>
      <c r="D495" s="16" t="s">
        <v>492</v>
      </c>
      <c r="E495" s="17">
        <v>0.0</v>
      </c>
      <c r="F495" s="20">
        <f>Tabelle1!E494-Hoja1!E495</f>
        <v>0.10352066</v>
      </c>
      <c r="G495" s="16">
        <f t="shared" si="1"/>
        <v>0.10352066</v>
      </c>
      <c r="H495" s="16"/>
      <c r="I495" s="17">
        <v>0.0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ht="15.75" customHeight="1">
      <c r="A496" s="16"/>
      <c r="B496" s="16"/>
      <c r="C496" s="16"/>
      <c r="D496" s="16" t="s">
        <v>493</v>
      </c>
      <c r="E496" s="17">
        <v>0.0</v>
      </c>
      <c r="F496" s="16">
        <f>Tabelle1!E495-Hoja1!E496</f>
        <v>0.10352066</v>
      </c>
      <c r="G496" s="16">
        <f t="shared" si="1"/>
        <v>0.10352066</v>
      </c>
      <c r="H496" s="16"/>
      <c r="I496" s="17">
        <v>0.0499999999883584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ht="15.75" customHeight="1">
      <c r="A497" s="16"/>
      <c r="B497" s="16"/>
      <c r="C497" s="16"/>
      <c r="D497" s="16" t="s">
        <v>494</v>
      </c>
      <c r="E497" s="17">
        <v>2.40915515381342</v>
      </c>
      <c r="F497" s="16">
        <f>Tabelle1!E496-Hoja1!E497</f>
        <v>-2.216210054</v>
      </c>
      <c r="G497" s="16">
        <f t="shared" si="1"/>
        <v>2.216210054</v>
      </c>
      <c r="H497" s="16"/>
      <c r="I497" s="17">
        <v>3.84999999997671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ht="15.75" customHeight="1">
      <c r="A498" s="16"/>
      <c r="B498" s="16"/>
      <c r="C498" s="16"/>
      <c r="D498" s="16" t="s">
        <v>495</v>
      </c>
      <c r="E498" s="17">
        <v>12.8378182201797</v>
      </c>
      <c r="F498" s="16">
        <f>Tabelle1!E497-Hoja1!E498</f>
        <v>-13.03124939</v>
      </c>
      <c r="G498" s="16">
        <f t="shared" si="1"/>
        <v>13.03124939</v>
      </c>
      <c r="H498" s="16"/>
      <c r="I498" s="17">
        <v>12.4600000000209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ht="15.75" customHeight="1">
      <c r="A499" s="16"/>
      <c r="B499" s="16"/>
      <c r="C499" s="16"/>
      <c r="D499" s="16" t="s">
        <v>496</v>
      </c>
      <c r="E499" s="17">
        <v>14.1006545957276</v>
      </c>
      <c r="F499" s="21">
        <f>Tabelle1!E498-Hoja1!E499</f>
        <v>-14.19407212</v>
      </c>
      <c r="G499" s="16">
        <f t="shared" si="1"/>
        <v>14.19407212</v>
      </c>
      <c r="H499" s="16"/>
      <c r="I499" s="17">
        <v>11.039999999979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ht="15.75" customHeight="1">
      <c r="A500" s="16"/>
      <c r="B500" s="16"/>
      <c r="C500" s="16"/>
      <c r="D500" s="16" t="s">
        <v>497</v>
      </c>
      <c r="E500" s="17">
        <v>16.7528143745871</v>
      </c>
      <c r="F500" s="21">
        <f>Tabelle1!E499-Hoja1!E500</f>
        <v>-16.8462319</v>
      </c>
      <c r="G500" s="16">
        <f t="shared" si="1"/>
        <v>16.8462319</v>
      </c>
      <c r="H500" s="16"/>
      <c r="I500" s="17">
        <v>17.3200000000069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ht="15.75" customHeight="1">
      <c r="A501" s="16"/>
      <c r="B501" s="16"/>
      <c r="C501" s="16"/>
      <c r="D501" s="16" t="s">
        <v>498</v>
      </c>
      <c r="E501" s="17">
        <v>90.5276080076499</v>
      </c>
      <c r="F501" s="21">
        <f>Tabelle1!E500-Hoja1!E501</f>
        <v>-90.62102553</v>
      </c>
      <c r="G501" s="16">
        <f t="shared" si="1"/>
        <v>90.62102553</v>
      </c>
      <c r="H501" s="16"/>
      <c r="I501" s="17">
        <v>22.8300000000162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ht="15.75" customHeight="1">
      <c r="A502" s="16"/>
      <c r="B502" s="16"/>
      <c r="C502" s="16"/>
      <c r="D502" s="16" t="s">
        <v>499</v>
      </c>
      <c r="E502" s="17">
        <v>18.1566827619076</v>
      </c>
      <c r="F502" s="16">
        <f>Tabelle1!E501-Hoja1!E502</f>
        <v>-18.25010029</v>
      </c>
      <c r="G502" s="16">
        <f t="shared" si="1"/>
        <v>18.25010029</v>
      </c>
      <c r="H502" s="16"/>
      <c r="I502" s="17">
        <v>17.0299999999697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ht="15.75" customHeight="1">
      <c r="A503" s="16"/>
      <c r="B503" s="16"/>
      <c r="C503" s="16"/>
      <c r="D503" s="16" t="s">
        <v>500</v>
      </c>
      <c r="E503" s="17">
        <v>15.1955162896631</v>
      </c>
      <c r="F503" s="21">
        <f>Tabelle1!E502-Hoja1!E503</f>
        <v>-15.28893381</v>
      </c>
      <c r="G503" s="16">
        <f t="shared" si="1"/>
        <v>15.28893381</v>
      </c>
      <c r="H503" s="16"/>
      <c r="I503" s="17">
        <v>86.2000000000116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ht="15.75" customHeight="1">
      <c r="A504" s="16"/>
      <c r="B504" s="16"/>
      <c r="C504" s="16"/>
      <c r="D504" s="16" t="s">
        <v>501</v>
      </c>
      <c r="E504" s="17">
        <v>65.8011163302273</v>
      </c>
      <c r="F504" s="21">
        <f>Tabelle1!E503-Hoja1!E504</f>
        <v>-65.89453386</v>
      </c>
      <c r="G504" s="16">
        <f t="shared" si="1"/>
        <v>65.89453386</v>
      </c>
      <c r="H504" s="16"/>
      <c r="I504" s="17">
        <v>67.0900000000256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ht="15.75" customHeight="1">
      <c r="A505" s="16"/>
      <c r="B505" s="16"/>
      <c r="C505" s="16"/>
      <c r="D505" s="16" t="s">
        <v>502</v>
      </c>
      <c r="E505" s="17">
        <v>69.2757229238111</v>
      </c>
      <c r="F505" s="21">
        <f>Tabelle1!E504-Hoja1!E505</f>
        <v>-69.36914045</v>
      </c>
      <c r="G505" s="16">
        <f t="shared" si="1"/>
        <v>69.36914045</v>
      </c>
      <c r="H505" s="16"/>
      <c r="I505" s="17">
        <v>10.649999999965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ht="15.75" customHeight="1">
      <c r="A506" s="16"/>
      <c r="B506" s="16"/>
      <c r="C506" s="16"/>
      <c r="D506" s="16" t="s">
        <v>503</v>
      </c>
      <c r="E506" s="17">
        <v>19.6336537774841</v>
      </c>
      <c r="F506" s="16">
        <f>Tabelle1!E505-Hoja1!E506</f>
        <v>-19.68911826</v>
      </c>
      <c r="G506" s="16">
        <f t="shared" si="1"/>
        <v>19.68911826</v>
      </c>
      <c r="H506" s="16"/>
      <c r="I506" s="17">
        <v>12.3300000000162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ht="15.75" customHeight="1">
      <c r="A507" s="16"/>
      <c r="B507" s="16"/>
      <c r="C507" s="16"/>
      <c r="D507" s="16" t="s">
        <v>504</v>
      </c>
      <c r="E507" s="17">
        <v>19.7665925280223</v>
      </c>
      <c r="F507" s="16">
        <f>Tabelle1!E506-Hoja1!E507</f>
        <v>-19.59033209</v>
      </c>
      <c r="G507" s="16">
        <f t="shared" si="1"/>
        <v>19.59033209</v>
      </c>
      <c r="H507" s="16"/>
      <c r="I507" s="17">
        <v>19.429999999993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ht="15.75" customHeight="1">
      <c r="A508" s="16"/>
      <c r="B508" s="16"/>
      <c r="C508" s="16"/>
      <c r="D508" s="16" t="s">
        <v>505</v>
      </c>
      <c r="E508" s="17">
        <v>2.70747445751491</v>
      </c>
      <c r="F508" s="16">
        <f>Tabelle1!E507-Hoja1!E508</f>
        <v>-2.563498248</v>
      </c>
      <c r="G508" s="16">
        <f t="shared" si="1"/>
        <v>2.563498248</v>
      </c>
      <c r="H508" s="16"/>
      <c r="I508" s="17">
        <v>7.54999999998835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ht="15.75" customHeight="1">
      <c r="A509" s="16"/>
      <c r="B509" s="16"/>
      <c r="C509" s="16"/>
      <c r="D509" s="16" t="s">
        <v>506</v>
      </c>
      <c r="E509" s="17">
        <v>0.0</v>
      </c>
      <c r="F509" s="16">
        <f>Tabelle1!E508-Hoja1!E509</f>
        <v>0.17884077</v>
      </c>
      <c r="G509" s="16">
        <f t="shared" si="1"/>
        <v>0.17884077</v>
      </c>
      <c r="H509" s="16"/>
      <c r="I509" s="17">
        <v>0.130000000004656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ht="15.75" customHeight="1">
      <c r="A510" s="16"/>
      <c r="B510" s="16"/>
      <c r="C510" s="16"/>
      <c r="D510" s="16" t="s">
        <v>507</v>
      </c>
      <c r="E510" s="17">
        <v>0.0</v>
      </c>
      <c r="F510" s="16">
        <f>Tabelle1!E509-Hoja1!E510</f>
        <v>0.18729824</v>
      </c>
      <c r="G510" s="16">
        <f t="shared" si="1"/>
        <v>0.18729824</v>
      </c>
      <c r="H510" s="16"/>
      <c r="I510" s="17">
        <v>0.0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ht="15.75" customHeight="1">
      <c r="A511" s="16"/>
      <c r="B511" s="16"/>
      <c r="C511" s="16"/>
      <c r="D511" s="16" t="s">
        <v>508</v>
      </c>
      <c r="E511" s="17">
        <v>0.0</v>
      </c>
      <c r="F511" s="16">
        <f>Tabelle1!E510-Hoja1!E511</f>
        <v>0.18729824</v>
      </c>
      <c r="G511" s="16">
        <f t="shared" si="1"/>
        <v>0.18729824</v>
      </c>
      <c r="H511" s="16"/>
      <c r="I511" s="17">
        <v>0.0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ht="15.75" customHeight="1">
      <c r="A512" s="16"/>
      <c r="B512" s="16"/>
      <c r="C512" s="16"/>
      <c r="D512" s="16" t="s">
        <v>509</v>
      </c>
      <c r="E512" s="17">
        <v>0.0</v>
      </c>
      <c r="F512" s="20">
        <f>Tabelle1!E511-Hoja1!E512</f>
        <v>0.10352066</v>
      </c>
      <c r="G512" s="16">
        <f t="shared" si="1"/>
        <v>0.10352066</v>
      </c>
      <c r="H512" s="16"/>
      <c r="I512" s="17">
        <v>0.0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ht="15.75" customHeight="1">
      <c r="A513" s="16"/>
      <c r="B513" s="16"/>
      <c r="C513" s="16"/>
      <c r="D513" s="16" t="s">
        <v>510</v>
      </c>
      <c r="E513" s="17">
        <v>0.0</v>
      </c>
      <c r="F513" s="20">
        <f>Tabelle1!E512-Hoja1!E513</f>
        <v>0.10352066</v>
      </c>
      <c r="G513" s="16">
        <f t="shared" si="1"/>
        <v>0.10352066</v>
      </c>
      <c r="H513" s="16"/>
      <c r="I513" s="17">
        <v>0.0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ht="15.75" customHeight="1">
      <c r="A514" s="16"/>
      <c r="B514" s="16"/>
      <c r="C514" s="16"/>
      <c r="D514" s="16" t="s">
        <v>511</v>
      </c>
      <c r="E514" s="17">
        <v>0.0</v>
      </c>
      <c r="F514" s="20">
        <f>Tabelle1!E513-Hoja1!E514</f>
        <v>0.10352066</v>
      </c>
      <c r="G514" s="16">
        <f t="shared" si="1"/>
        <v>0.10352066</v>
      </c>
      <c r="H514" s="16"/>
      <c r="I514" s="17">
        <v>0.0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ht="15.75" customHeight="1">
      <c r="A515" s="16"/>
      <c r="B515" s="16"/>
      <c r="C515" s="16"/>
      <c r="D515" s="16" t="s">
        <v>512</v>
      </c>
      <c r="E515" s="17">
        <v>0.0</v>
      </c>
      <c r="F515" s="20">
        <f>Tabelle1!E514-Hoja1!E515</f>
        <v>0.10352066</v>
      </c>
      <c r="G515" s="16">
        <f t="shared" si="1"/>
        <v>0.10352066</v>
      </c>
      <c r="H515" s="16"/>
      <c r="I515" s="17">
        <v>0.0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ht="15.75" customHeight="1">
      <c r="A516" s="16"/>
      <c r="B516" s="16"/>
      <c r="C516" s="16"/>
      <c r="D516" s="16" t="s">
        <v>513</v>
      </c>
      <c r="E516" s="17">
        <v>0.0</v>
      </c>
      <c r="F516" s="20">
        <f>Tabelle1!E515-Hoja1!E516</f>
        <v>0.10352066</v>
      </c>
      <c r="G516" s="16">
        <f t="shared" si="1"/>
        <v>0.10352066</v>
      </c>
      <c r="H516" s="16"/>
      <c r="I516" s="17">
        <v>0.0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ht="15.75" customHeight="1">
      <c r="A517" s="16"/>
      <c r="B517" s="16"/>
      <c r="C517" s="16"/>
      <c r="D517" s="16" t="s">
        <v>514</v>
      </c>
      <c r="E517" s="17">
        <v>0.0</v>
      </c>
      <c r="F517" s="20">
        <f>Tabelle1!E516-Hoja1!E517</f>
        <v>0.10352066</v>
      </c>
      <c r="G517" s="16">
        <f t="shared" si="1"/>
        <v>0.10352066</v>
      </c>
      <c r="H517" s="16"/>
      <c r="I517" s="17">
        <v>0.0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ht="15.75" customHeight="1">
      <c r="A518" s="16"/>
      <c r="B518" s="16"/>
      <c r="C518" s="16"/>
      <c r="D518" s="16" t="s">
        <v>515</v>
      </c>
      <c r="E518" s="17">
        <v>0.0</v>
      </c>
      <c r="F518" s="20">
        <f>Tabelle1!E517-Hoja1!E518</f>
        <v>0.10352066</v>
      </c>
      <c r="G518" s="16">
        <f t="shared" si="1"/>
        <v>0.10352066</v>
      </c>
      <c r="H518" s="16"/>
      <c r="I518" s="17">
        <v>0.0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ht="15.75" customHeight="1">
      <c r="A519" s="16"/>
      <c r="B519" s="16"/>
      <c r="C519" s="16"/>
      <c r="D519" s="16" t="s">
        <v>516</v>
      </c>
      <c r="E519" s="17">
        <v>0.0</v>
      </c>
      <c r="F519" s="20">
        <f>Tabelle1!E518-Hoja1!E519</f>
        <v>0.10352066</v>
      </c>
      <c r="G519" s="16">
        <f t="shared" si="1"/>
        <v>0.10352066</v>
      </c>
      <c r="H519" s="16"/>
      <c r="I519" s="17">
        <v>0.0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ht="15.75" customHeight="1">
      <c r="A520" s="16"/>
      <c r="B520" s="16"/>
      <c r="C520" s="16"/>
      <c r="D520" s="16" t="s">
        <v>517</v>
      </c>
      <c r="E520" s="17">
        <v>0.0</v>
      </c>
      <c r="F520" s="16">
        <f>Tabelle1!E519-Hoja1!E520</f>
        <v>0.10352066</v>
      </c>
      <c r="G520" s="16">
        <f t="shared" si="1"/>
        <v>0.10352066</v>
      </c>
      <c r="H520" s="16"/>
      <c r="I520" s="17">
        <v>0.0200000000186264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ht="15.75" customHeight="1">
      <c r="A521" s="16"/>
      <c r="B521" s="16"/>
      <c r="C521" s="16"/>
      <c r="D521" s="16" t="s">
        <v>518</v>
      </c>
      <c r="E521" s="17">
        <v>4.78001648567421</v>
      </c>
      <c r="F521" s="21">
        <f>Tabelle1!E520-Hoja1!E521</f>
        <v>-4.587071386</v>
      </c>
      <c r="G521" s="16">
        <f t="shared" si="1"/>
        <v>4.587071386</v>
      </c>
      <c r="H521" s="16"/>
      <c r="I521" s="17">
        <v>3.29999999998835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ht="15.75" customHeight="1">
      <c r="A522" s="16"/>
      <c r="B522" s="16"/>
      <c r="C522" s="16"/>
      <c r="D522" s="16" t="s">
        <v>519</v>
      </c>
      <c r="E522" s="17">
        <v>21.7995594728307</v>
      </c>
      <c r="F522" s="21">
        <f>Tabelle1!E521-Hoja1!E522</f>
        <v>-21.99299064</v>
      </c>
      <c r="G522" s="16">
        <f t="shared" si="1"/>
        <v>21.99299064</v>
      </c>
      <c r="H522" s="16"/>
      <c r="I522" s="17">
        <v>20.4600000000209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ht="15.75" customHeight="1">
      <c r="A523" s="16"/>
      <c r="B523" s="16"/>
      <c r="C523" s="16"/>
      <c r="D523" s="16" t="s">
        <v>520</v>
      </c>
      <c r="E523" s="17">
        <v>72.203094964806</v>
      </c>
      <c r="F523" s="16">
        <f>Tabelle1!E522-Hoja1!E523</f>
        <v>-72.29651249</v>
      </c>
      <c r="G523" s="16">
        <f t="shared" si="1"/>
        <v>72.29651249</v>
      </c>
      <c r="H523" s="16"/>
      <c r="I523" s="17">
        <v>11.6900000000023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ht="15.75" customHeight="1">
      <c r="A524" s="16"/>
      <c r="B524" s="16"/>
      <c r="C524" s="16"/>
      <c r="D524" s="16" t="s">
        <v>521</v>
      </c>
      <c r="E524" s="17">
        <v>104.62803314865</v>
      </c>
      <c r="F524" s="16">
        <f>Tabelle1!E523-Hoja1!E524</f>
        <v>-104.7214507</v>
      </c>
      <c r="G524" s="16">
        <f t="shared" si="1"/>
        <v>104.7214507</v>
      </c>
      <c r="H524" s="16"/>
      <c r="I524" s="17">
        <v>12.289999999979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ht="15.75" customHeight="1">
      <c r="A525" s="16"/>
      <c r="B525" s="16"/>
      <c r="C525" s="16"/>
      <c r="D525" s="16" t="s">
        <v>522</v>
      </c>
      <c r="E525" s="17">
        <v>121.272498677675</v>
      </c>
      <c r="F525" s="21">
        <f>Tabelle1!E524-Hoja1!E525</f>
        <v>-121.3659162</v>
      </c>
      <c r="G525" s="16">
        <f t="shared" si="1"/>
        <v>121.3659162</v>
      </c>
      <c r="H525" s="16"/>
      <c r="I525" s="17">
        <v>58.0300000000279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ht="15.75" customHeight="1">
      <c r="A526" s="16"/>
      <c r="B526" s="16"/>
      <c r="C526" s="16"/>
      <c r="D526" s="16" t="s">
        <v>523</v>
      </c>
      <c r="E526" s="17">
        <v>123.323038638972</v>
      </c>
      <c r="F526" s="21">
        <f>Tabelle1!E525-Hoja1!E526</f>
        <v>-123.4164562</v>
      </c>
      <c r="G526" s="16">
        <f t="shared" si="1"/>
        <v>123.4164562</v>
      </c>
      <c r="H526" s="16"/>
      <c r="I526" s="17">
        <v>87.9099999999743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ht="15.75" customHeight="1">
      <c r="A527" s="16"/>
      <c r="B527" s="16"/>
      <c r="C527" s="16"/>
      <c r="D527" s="16" t="s">
        <v>524</v>
      </c>
      <c r="E527" s="17">
        <v>121.816078887857</v>
      </c>
      <c r="F527" s="21">
        <f>Tabelle1!E526-Hoja1!E527</f>
        <v>-121.9094964</v>
      </c>
      <c r="G527" s="16">
        <f t="shared" si="1"/>
        <v>121.9094964</v>
      </c>
      <c r="H527" s="16"/>
      <c r="I527" s="17">
        <v>12.0599999999976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ht="15.75" customHeight="1">
      <c r="A528" s="16"/>
      <c r="B528" s="16"/>
      <c r="C528" s="16"/>
      <c r="D528" s="16" t="s">
        <v>525</v>
      </c>
      <c r="E528" s="17">
        <v>112.453811600095</v>
      </c>
      <c r="F528" s="21">
        <f>Tabelle1!E527-Hoja1!E528</f>
        <v>-112.5472291</v>
      </c>
      <c r="G528" s="16">
        <f t="shared" si="1"/>
        <v>112.5472291</v>
      </c>
      <c r="H528" s="16"/>
      <c r="I528" s="17">
        <v>22.1500000000232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ht="15.75" customHeight="1">
      <c r="A529" s="16"/>
      <c r="B529" s="16"/>
      <c r="C529" s="16"/>
      <c r="D529" s="16" t="s">
        <v>526</v>
      </c>
      <c r="E529" s="17">
        <v>89.8932936572133</v>
      </c>
      <c r="F529" s="21">
        <f>Tabelle1!E528-Hoja1!E529</f>
        <v>-89.98671118</v>
      </c>
      <c r="G529" s="16">
        <f t="shared" si="1"/>
        <v>89.98671118</v>
      </c>
      <c r="H529" s="16"/>
      <c r="I529" s="17">
        <v>79.1599999999743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ht="15.75" customHeight="1">
      <c r="A530" s="16"/>
      <c r="B530" s="16"/>
      <c r="C530" s="16"/>
      <c r="D530" s="16" t="s">
        <v>527</v>
      </c>
      <c r="E530" s="17">
        <v>44.9807342783563</v>
      </c>
      <c r="F530" s="16">
        <f>Tabelle1!E529-Hoja1!E530</f>
        <v>-45.03619876</v>
      </c>
      <c r="G530" s="16">
        <f t="shared" si="1"/>
        <v>45.03619876</v>
      </c>
      <c r="H530" s="16"/>
      <c r="I530" s="17">
        <v>62.5800000000163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ht="15.75" customHeight="1">
      <c r="A531" s="16"/>
      <c r="B531" s="16"/>
      <c r="C531" s="16"/>
      <c r="D531" s="16" t="s">
        <v>528</v>
      </c>
      <c r="E531" s="17">
        <v>21.2672254728436</v>
      </c>
      <c r="F531" s="16">
        <f>Tabelle1!E530-Hoja1!E531</f>
        <v>-21.09096503</v>
      </c>
      <c r="G531" s="16">
        <f t="shared" si="1"/>
        <v>21.09096503</v>
      </c>
      <c r="H531" s="16"/>
      <c r="I531" s="17">
        <v>22.2299999999813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ht="15.75" customHeight="1">
      <c r="A532" s="16"/>
      <c r="B532" s="16"/>
      <c r="C532" s="16"/>
      <c r="D532" s="16" t="s">
        <v>529</v>
      </c>
      <c r="E532" s="17">
        <v>5.63787894392197</v>
      </c>
      <c r="F532" s="16">
        <f>Tabelle1!E531-Hoja1!E532</f>
        <v>-5.493902734</v>
      </c>
      <c r="G532" s="16">
        <f t="shared" si="1"/>
        <v>5.493902734</v>
      </c>
      <c r="H532" s="16"/>
      <c r="I532" s="17">
        <v>9.23999999999068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ht="15.75" customHeight="1">
      <c r="A533" s="16"/>
      <c r="B533" s="16"/>
      <c r="C533" s="16"/>
      <c r="D533" s="16" t="s">
        <v>530</v>
      </c>
      <c r="E533" s="17">
        <v>0.0</v>
      </c>
      <c r="F533" s="16">
        <f>Tabelle1!E532-Hoja1!E533</f>
        <v>0.17884077</v>
      </c>
      <c r="G533" s="16">
        <f t="shared" si="1"/>
        <v>0.17884077</v>
      </c>
      <c r="H533" s="16"/>
      <c r="I533" s="17">
        <v>0.119999999995343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ht="15.75" customHeight="1">
      <c r="A534" s="16"/>
      <c r="B534" s="16"/>
      <c r="C534" s="16"/>
      <c r="D534" s="16" t="s">
        <v>531</v>
      </c>
      <c r="E534" s="17">
        <v>0.0</v>
      </c>
      <c r="F534" s="16">
        <f>Tabelle1!E533-Hoja1!E534</f>
        <v>0.18729824</v>
      </c>
      <c r="G534" s="16">
        <f t="shared" si="1"/>
        <v>0.18729824</v>
      </c>
      <c r="H534" s="16"/>
      <c r="I534" s="17">
        <v>0.0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ht="15.75" customHeight="1">
      <c r="A535" s="16"/>
      <c r="B535" s="16"/>
      <c r="C535" s="16"/>
      <c r="D535" s="16" t="s">
        <v>532</v>
      </c>
      <c r="E535" s="17">
        <v>0.0</v>
      </c>
      <c r="F535" s="16">
        <f>Tabelle1!E534-Hoja1!E535</f>
        <v>0.18729824</v>
      </c>
      <c r="G535" s="16">
        <f t="shared" si="1"/>
        <v>0.18729824</v>
      </c>
      <c r="H535" s="16"/>
      <c r="I535" s="17">
        <v>0.0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ht="15.75" customHeight="1">
      <c r="A536" s="16"/>
      <c r="B536" s="16"/>
      <c r="C536" s="16"/>
      <c r="D536" s="16" t="s">
        <v>533</v>
      </c>
      <c r="E536" s="17">
        <v>0.0</v>
      </c>
      <c r="F536" s="20">
        <f>Tabelle1!E535-Hoja1!E536</f>
        <v>0.09715321</v>
      </c>
      <c r="G536" s="16">
        <f t="shared" si="1"/>
        <v>0.09715321</v>
      </c>
      <c r="H536" s="16"/>
      <c r="I536" s="17">
        <v>0.0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ht="15.75" customHeight="1">
      <c r="A537" s="16"/>
      <c r="B537" s="16"/>
      <c r="C537" s="16"/>
      <c r="D537" s="16" t="s">
        <v>534</v>
      </c>
      <c r="E537" s="17">
        <v>0.0</v>
      </c>
      <c r="F537" s="20">
        <f>Tabelle1!E536-Hoja1!E537</f>
        <v>0.09715321</v>
      </c>
      <c r="G537" s="16">
        <f t="shared" si="1"/>
        <v>0.09715321</v>
      </c>
      <c r="H537" s="16"/>
      <c r="I537" s="17">
        <v>0.0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ht="15.75" customHeight="1">
      <c r="A538" s="16"/>
      <c r="B538" s="16"/>
      <c r="C538" s="16"/>
      <c r="D538" s="16" t="s">
        <v>535</v>
      </c>
      <c r="E538" s="17">
        <v>0.0</v>
      </c>
      <c r="F538" s="20">
        <f>Tabelle1!E537-Hoja1!E538</f>
        <v>0.09715321</v>
      </c>
      <c r="G538" s="16">
        <f t="shared" si="1"/>
        <v>0.09715321</v>
      </c>
      <c r="H538" s="16"/>
      <c r="I538" s="17">
        <v>0.0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ht="15.75" customHeight="1">
      <c r="A539" s="16"/>
      <c r="B539" s="16"/>
      <c r="C539" s="16"/>
      <c r="D539" s="16" t="s">
        <v>536</v>
      </c>
      <c r="E539" s="17">
        <v>0.0</v>
      </c>
      <c r="F539" s="20">
        <f>Tabelle1!E538-Hoja1!E539</f>
        <v>0.09715321</v>
      </c>
      <c r="G539" s="16">
        <f t="shared" si="1"/>
        <v>0.09715321</v>
      </c>
      <c r="H539" s="16"/>
      <c r="I539" s="17">
        <v>0.0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ht="15.75" customHeight="1">
      <c r="A540" s="16"/>
      <c r="B540" s="16"/>
      <c r="C540" s="16"/>
      <c r="D540" s="16" t="s">
        <v>537</v>
      </c>
      <c r="E540" s="17">
        <v>0.0</v>
      </c>
      <c r="F540" s="20">
        <f>Tabelle1!E539-Hoja1!E540</f>
        <v>0.09715321</v>
      </c>
      <c r="G540" s="16">
        <f t="shared" si="1"/>
        <v>0.09715321</v>
      </c>
      <c r="H540" s="16"/>
      <c r="I540" s="17">
        <v>0.0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ht="15.75" customHeight="1">
      <c r="A541" s="16"/>
      <c r="B541" s="16"/>
      <c r="C541" s="16"/>
      <c r="D541" s="16" t="s">
        <v>538</v>
      </c>
      <c r="E541" s="17">
        <v>0.0</v>
      </c>
      <c r="F541" s="20">
        <f>Tabelle1!E540-Hoja1!E541</f>
        <v>0.09715321</v>
      </c>
      <c r="G541" s="16">
        <f t="shared" si="1"/>
        <v>0.09715321</v>
      </c>
      <c r="H541" s="16"/>
      <c r="I541" s="17">
        <v>0.0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ht="15.75" customHeight="1">
      <c r="A542" s="16"/>
      <c r="B542" s="16"/>
      <c r="C542" s="16"/>
      <c r="D542" s="16" t="s">
        <v>539</v>
      </c>
      <c r="E542" s="17">
        <v>0.0</v>
      </c>
      <c r="F542" s="20">
        <f>Tabelle1!E541-Hoja1!E542</f>
        <v>0.09715321</v>
      </c>
      <c r="G542" s="16">
        <f t="shared" si="1"/>
        <v>0.09715321</v>
      </c>
      <c r="H542" s="16"/>
      <c r="I542" s="17">
        <v>0.0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ht="15.75" customHeight="1">
      <c r="A543" s="16"/>
      <c r="B543" s="16"/>
      <c r="C543" s="16"/>
      <c r="D543" s="16" t="s">
        <v>540</v>
      </c>
      <c r="E543" s="17">
        <v>0.0</v>
      </c>
      <c r="F543" s="20">
        <f>Tabelle1!E542-Hoja1!E543</f>
        <v>0.09715321</v>
      </c>
      <c r="G543" s="16">
        <f t="shared" si="1"/>
        <v>0.09715321</v>
      </c>
      <c r="H543" s="16"/>
      <c r="I543" s="17">
        <v>0.0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ht="15.75" customHeight="1">
      <c r="A544" s="16"/>
      <c r="B544" s="16"/>
      <c r="C544" s="16"/>
      <c r="D544" s="16" t="s">
        <v>541</v>
      </c>
      <c r="E544" s="17">
        <v>0.0</v>
      </c>
      <c r="F544" s="16">
        <f>Tabelle1!E543-Hoja1!E544</f>
        <v>0.09715321</v>
      </c>
      <c r="G544" s="16">
        <f t="shared" si="1"/>
        <v>0.09715321</v>
      </c>
      <c r="H544" s="16"/>
      <c r="I544" s="17">
        <v>0.110000000044237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ht="15.75" customHeight="1">
      <c r="A545" s="16"/>
      <c r="B545" s="16"/>
      <c r="C545" s="16"/>
      <c r="D545" s="16" t="s">
        <v>542</v>
      </c>
      <c r="E545" s="17">
        <v>4.33214226596235</v>
      </c>
      <c r="F545" s="21">
        <f>Tabelle1!E544-Hoja1!E545</f>
        <v>-4.145564636</v>
      </c>
      <c r="G545" s="16">
        <f t="shared" si="1"/>
        <v>4.145564636</v>
      </c>
      <c r="H545" s="16"/>
      <c r="I545" s="17">
        <v>4.70999999996274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ht="15.75" customHeight="1">
      <c r="A546" s="16"/>
      <c r="B546" s="16"/>
      <c r="C546" s="16"/>
      <c r="D546" s="16" t="s">
        <v>543</v>
      </c>
      <c r="E546" s="17">
        <v>32.4214302460585</v>
      </c>
      <c r="F546" s="21">
        <f>Tabelle1!E545-Hoja1!E546</f>
        <v>-32.76077043</v>
      </c>
      <c r="G546" s="16">
        <f t="shared" si="1"/>
        <v>32.76077043</v>
      </c>
      <c r="H546" s="16"/>
      <c r="I546" s="17">
        <v>32.5100000000093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ht="15.75" customHeight="1">
      <c r="A547" s="16"/>
      <c r="B547" s="16"/>
      <c r="C547" s="16"/>
      <c r="D547" s="16" t="s">
        <v>544</v>
      </c>
      <c r="E547" s="17">
        <v>77.9347844326034</v>
      </c>
      <c r="F547" s="21">
        <f>Tabelle1!E546-Hoja1!E547</f>
        <v>-78.67151703</v>
      </c>
      <c r="G547" s="16">
        <f t="shared" si="1"/>
        <v>78.67151703</v>
      </c>
      <c r="H547" s="16"/>
      <c r="I547" s="17">
        <v>74.109999999986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ht="15.75" customHeight="1">
      <c r="A548" s="16"/>
      <c r="B548" s="16"/>
      <c r="C548" s="16"/>
      <c r="D548" s="16" t="s">
        <v>545</v>
      </c>
      <c r="E548" s="17">
        <v>110.251420534069</v>
      </c>
      <c r="F548" s="21">
        <f>Tabelle1!E547-Hoja1!E548</f>
        <v>-110.9881531</v>
      </c>
      <c r="G548" s="16">
        <f t="shared" si="1"/>
        <v>110.9881531</v>
      </c>
      <c r="H548" s="16"/>
      <c r="I548" s="17">
        <v>109.590000000025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ht="15.75" customHeight="1">
      <c r="A549" s="16"/>
      <c r="B549" s="16"/>
      <c r="C549" s="16"/>
      <c r="D549" s="16" t="s">
        <v>546</v>
      </c>
      <c r="E549" s="17">
        <v>125.704034211935</v>
      </c>
      <c r="F549" s="21">
        <f>Tabelle1!E548-Hoja1!E549</f>
        <v>-126.4407668</v>
      </c>
      <c r="G549" s="16">
        <f t="shared" si="1"/>
        <v>126.4407668</v>
      </c>
      <c r="H549" s="16"/>
      <c r="I549" s="17">
        <v>128.48999999999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ht="15.75" customHeight="1">
      <c r="A550" s="16"/>
      <c r="B550" s="16"/>
      <c r="C550" s="16"/>
      <c r="D550" s="16" t="s">
        <v>547</v>
      </c>
      <c r="E550" s="17">
        <v>127.051560930474</v>
      </c>
      <c r="F550" s="21">
        <f>Tabelle1!E549-Hoja1!E550</f>
        <v>-127.7882935</v>
      </c>
      <c r="G550" s="16">
        <f t="shared" si="1"/>
        <v>127.7882935</v>
      </c>
      <c r="H550" s="16"/>
      <c r="I550" s="17">
        <v>125.429999999993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ht="15.75" customHeight="1">
      <c r="A551" s="16"/>
      <c r="B551" s="16"/>
      <c r="C551" s="16"/>
      <c r="D551" s="16" t="s">
        <v>548</v>
      </c>
      <c r="E551" s="17">
        <v>125.489798419949</v>
      </c>
      <c r="F551" s="21">
        <f>Tabelle1!E550-Hoja1!E551</f>
        <v>-126.226531</v>
      </c>
      <c r="G551" s="16">
        <f t="shared" si="1"/>
        <v>126.226531</v>
      </c>
      <c r="H551" s="16"/>
      <c r="I551" s="17">
        <v>82.2399999999906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ht="15.75" customHeight="1">
      <c r="A552" s="16"/>
      <c r="B552" s="16"/>
      <c r="C552" s="16"/>
      <c r="D552" s="16" t="s">
        <v>549</v>
      </c>
      <c r="E552" s="17">
        <v>117.117637536666</v>
      </c>
      <c r="F552" s="21">
        <f>Tabelle1!E551-Hoja1!E552</f>
        <v>-117.8543701</v>
      </c>
      <c r="G552" s="16">
        <f t="shared" si="1"/>
        <v>117.8543701</v>
      </c>
      <c r="H552" s="16"/>
      <c r="I552" s="17">
        <v>107.330000000016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ht="15.75" customHeight="1">
      <c r="A553" s="16"/>
      <c r="B553" s="16"/>
      <c r="C553" s="16"/>
      <c r="D553" s="16" t="s">
        <v>550</v>
      </c>
      <c r="E553" s="17">
        <v>102.515594635403</v>
      </c>
      <c r="F553" s="21">
        <f>Tabelle1!E552-Hoja1!E553</f>
        <v>-103.2523272</v>
      </c>
      <c r="G553" s="16">
        <f t="shared" si="1"/>
        <v>103.2523272</v>
      </c>
      <c r="H553" s="16"/>
      <c r="I553" s="17">
        <v>96.7100000000209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ht="15.75" customHeight="1">
      <c r="A554" s="16"/>
      <c r="B554" s="16"/>
      <c r="C554" s="16"/>
      <c r="D554" s="16" t="s">
        <v>551</v>
      </c>
      <c r="E554" s="17">
        <v>69.9043760950701</v>
      </c>
      <c r="F554" s="21">
        <f>Tabelle1!E553-Hoja1!E554</f>
        <v>-70.55068166</v>
      </c>
      <c r="G554" s="16">
        <f t="shared" si="1"/>
        <v>70.55068166</v>
      </c>
      <c r="H554" s="16"/>
      <c r="I554" s="17">
        <v>84.679999999993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ht="15.75" customHeight="1">
      <c r="A555" s="16"/>
      <c r="B555" s="16"/>
      <c r="C555" s="16"/>
      <c r="D555" s="16" t="s">
        <v>552</v>
      </c>
      <c r="E555" s="17">
        <v>34.1719591976367</v>
      </c>
      <c r="F555" s="16">
        <f>Tabelle1!E554-Hoja1!E555</f>
        <v>-34.41577872</v>
      </c>
      <c r="G555" s="16">
        <f t="shared" si="1"/>
        <v>34.41577872</v>
      </c>
      <c r="H555" s="16"/>
      <c r="I555" s="17">
        <v>40.179999999993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ht="15.75" customHeight="1">
      <c r="A556" s="16"/>
      <c r="B556" s="16"/>
      <c r="C556" s="16"/>
      <c r="D556" s="16" t="s">
        <v>553</v>
      </c>
      <c r="E556" s="17">
        <v>10.178405214012</v>
      </c>
      <c r="F556" s="16">
        <f>Tabelle1!E555-Hoja1!E556</f>
        <v>-10.18505825</v>
      </c>
      <c r="G556" s="16">
        <f t="shared" si="1"/>
        <v>10.18505825</v>
      </c>
      <c r="H556" s="16"/>
      <c r="I556" s="17">
        <v>8.09000000002561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ht="15.75" customHeight="1">
      <c r="A557" s="16"/>
      <c r="B557" s="16"/>
      <c r="C557" s="16"/>
      <c r="D557" s="16" t="s">
        <v>554</v>
      </c>
      <c r="E557" s="17">
        <v>0.0</v>
      </c>
      <c r="F557" s="16">
        <f>Tabelle1!E556-Hoja1!E557</f>
        <v>0.15968363</v>
      </c>
      <c r="G557" s="16">
        <f t="shared" si="1"/>
        <v>0.15968363</v>
      </c>
      <c r="H557" s="16"/>
      <c r="I557" s="17">
        <v>0.0799999999580904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ht="15.75" customHeight="1">
      <c r="A558" s="16"/>
      <c r="B558" s="16"/>
      <c r="C558" s="16"/>
      <c r="D558" s="16" t="s">
        <v>555</v>
      </c>
      <c r="E558" s="17">
        <v>0.0</v>
      </c>
      <c r="F558" s="16">
        <f>Tabelle1!E557-Hoja1!E558</f>
        <v>0.1681411</v>
      </c>
      <c r="G558" s="16">
        <f t="shared" si="1"/>
        <v>0.1681411</v>
      </c>
      <c r="H558" s="16"/>
      <c r="I558" s="17">
        <v>0.0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ht="15.75" customHeight="1">
      <c r="A559" s="16"/>
      <c r="B559" s="16"/>
      <c r="C559" s="16"/>
      <c r="D559" s="16" t="s">
        <v>556</v>
      </c>
      <c r="E559" s="17">
        <v>0.0</v>
      </c>
      <c r="F559" s="16">
        <f>Tabelle1!E558-Hoja1!E559</f>
        <v>0.1681411</v>
      </c>
      <c r="G559" s="16">
        <f t="shared" si="1"/>
        <v>0.1681411</v>
      </c>
      <c r="H559" s="16"/>
      <c r="I559" s="17">
        <v>0.0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ht="15.75" customHeight="1">
      <c r="A560" s="16"/>
      <c r="B560" s="16"/>
      <c r="C560" s="16"/>
      <c r="D560" s="16" t="s">
        <v>557</v>
      </c>
      <c r="E560" s="17">
        <v>0.0</v>
      </c>
      <c r="F560" s="20">
        <f>Tabelle1!E559-Hoja1!E560</f>
        <v>0.09715321</v>
      </c>
      <c r="G560" s="16">
        <f t="shared" si="1"/>
        <v>0.09715321</v>
      </c>
      <c r="H560" s="16"/>
      <c r="I560" s="17">
        <v>0.0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ht="15.75" customHeight="1">
      <c r="A561" s="16"/>
      <c r="B561" s="16"/>
      <c r="C561" s="16"/>
      <c r="D561" s="16" t="s">
        <v>558</v>
      </c>
      <c r="E561" s="17">
        <v>0.0</v>
      </c>
      <c r="F561" s="20">
        <f>Tabelle1!E560-Hoja1!E561</f>
        <v>0.09715321</v>
      </c>
      <c r="G561" s="16">
        <f t="shared" si="1"/>
        <v>0.09715321</v>
      </c>
      <c r="H561" s="16"/>
      <c r="I561" s="17">
        <v>0.0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ht="15.75" customHeight="1">
      <c r="A562" s="16"/>
      <c r="B562" s="16"/>
      <c r="C562" s="16"/>
      <c r="D562" s="16" t="s">
        <v>559</v>
      </c>
      <c r="E562" s="17">
        <v>0.0</v>
      </c>
      <c r="F562" s="20">
        <f>Tabelle1!E561-Hoja1!E562</f>
        <v>0.09715321</v>
      </c>
      <c r="G562" s="16">
        <f t="shared" si="1"/>
        <v>0.09715321</v>
      </c>
      <c r="H562" s="16"/>
      <c r="I562" s="17">
        <v>0.0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ht="15.75" customHeight="1">
      <c r="A563" s="16"/>
      <c r="B563" s="16"/>
      <c r="C563" s="16"/>
      <c r="D563" s="16" t="s">
        <v>560</v>
      </c>
      <c r="E563" s="17">
        <v>0.0</v>
      </c>
      <c r="F563" s="20">
        <f>Tabelle1!E562-Hoja1!E563</f>
        <v>0.09715321</v>
      </c>
      <c r="G563" s="16">
        <f t="shared" si="1"/>
        <v>0.09715321</v>
      </c>
      <c r="H563" s="16"/>
      <c r="I563" s="17">
        <v>0.0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ht="15.75" customHeight="1">
      <c r="A564" s="16"/>
      <c r="B564" s="16"/>
      <c r="C564" s="16"/>
      <c r="D564" s="16" t="s">
        <v>561</v>
      </c>
      <c r="E564" s="17">
        <v>0.0</v>
      </c>
      <c r="F564" s="20">
        <f>Tabelle1!E563-Hoja1!E564</f>
        <v>0.09715321</v>
      </c>
      <c r="G564" s="16">
        <f t="shared" si="1"/>
        <v>0.09715321</v>
      </c>
      <c r="H564" s="16"/>
      <c r="I564" s="17">
        <v>0.0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ht="15.75" customHeight="1">
      <c r="A565" s="16"/>
      <c r="B565" s="16"/>
      <c r="C565" s="16"/>
      <c r="D565" s="16" t="s">
        <v>562</v>
      </c>
      <c r="E565" s="17">
        <v>0.0</v>
      </c>
      <c r="F565" s="20">
        <f>Tabelle1!E564-Hoja1!E565</f>
        <v>0.09715321</v>
      </c>
      <c r="G565" s="16">
        <f t="shared" si="1"/>
        <v>0.09715321</v>
      </c>
      <c r="H565" s="16"/>
      <c r="I565" s="17">
        <v>0.0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ht="15.75" customHeight="1">
      <c r="A566" s="16"/>
      <c r="B566" s="16"/>
      <c r="C566" s="16"/>
      <c r="D566" s="16" t="s">
        <v>563</v>
      </c>
      <c r="E566" s="17">
        <v>0.0</v>
      </c>
      <c r="F566" s="20">
        <f>Tabelle1!E565-Hoja1!E566</f>
        <v>0.09715321</v>
      </c>
      <c r="G566" s="16">
        <f t="shared" si="1"/>
        <v>0.09715321</v>
      </c>
      <c r="H566" s="16"/>
      <c r="I566" s="17">
        <v>0.0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ht="15.75" customHeight="1">
      <c r="A567" s="16"/>
      <c r="B567" s="16"/>
      <c r="C567" s="16"/>
      <c r="D567" s="16" t="s">
        <v>564</v>
      </c>
      <c r="E567" s="17">
        <v>0.0</v>
      </c>
      <c r="F567" s="20">
        <f>Tabelle1!E566-Hoja1!E567</f>
        <v>0.09715321</v>
      </c>
      <c r="G567" s="16">
        <f t="shared" si="1"/>
        <v>0.09715321</v>
      </c>
      <c r="H567" s="16"/>
      <c r="I567" s="17">
        <v>0.0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ht="15.75" customHeight="1">
      <c r="A568" s="16"/>
      <c r="B568" s="16"/>
      <c r="C568" s="16"/>
      <c r="D568" s="16" t="s">
        <v>565</v>
      </c>
      <c r="E568" s="17">
        <v>0.0</v>
      </c>
      <c r="F568" s="16">
        <f>Tabelle1!E567-Hoja1!E568</f>
        <v>0.09715321</v>
      </c>
      <c r="G568" s="16">
        <f t="shared" si="1"/>
        <v>0.09715321</v>
      </c>
      <c r="H568" s="16"/>
      <c r="I568" s="17">
        <v>0.0499999999883584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ht="15.75" customHeight="1">
      <c r="A569" s="16"/>
      <c r="B569" s="16"/>
      <c r="C569" s="16"/>
      <c r="D569" s="16" t="s">
        <v>566</v>
      </c>
      <c r="E569" s="17">
        <v>3.62549079306156</v>
      </c>
      <c r="F569" s="21">
        <f>Tabelle1!E568-Hoja1!E569</f>
        <v>-3.438913163</v>
      </c>
      <c r="G569" s="16">
        <f t="shared" si="1"/>
        <v>3.438913163</v>
      </c>
      <c r="H569" s="16"/>
      <c r="I569" s="17">
        <v>2.85000000003492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ht="15.75" customHeight="1">
      <c r="A570" s="16"/>
      <c r="B570" s="16"/>
      <c r="C570" s="16"/>
      <c r="D570" s="16" t="s">
        <v>567</v>
      </c>
      <c r="E570" s="17">
        <v>22.627209996234</v>
      </c>
      <c r="F570" s="21">
        <f>Tabelle1!E569-Hoja1!E570</f>
        <v>-22.96655018</v>
      </c>
      <c r="G570" s="16">
        <f t="shared" si="1"/>
        <v>22.96655018</v>
      </c>
      <c r="H570" s="16"/>
      <c r="I570" s="17">
        <v>15.6900000000023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ht="15.75" customHeight="1">
      <c r="A571" s="16"/>
      <c r="B571" s="16"/>
      <c r="C571" s="16"/>
      <c r="D571" s="16" t="s">
        <v>568</v>
      </c>
      <c r="E571" s="17">
        <v>49.5140091375819</v>
      </c>
      <c r="F571" s="21">
        <f>Tabelle1!E570-Hoja1!E571</f>
        <v>-50.25074174</v>
      </c>
      <c r="G571" s="16">
        <f t="shared" si="1"/>
        <v>50.25074174</v>
      </c>
      <c r="H571" s="16"/>
      <c r="I571" s="17">
        <v>48.6900000000023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ht="15.75" customHeight="1">
      <c r="A572" s="16"/>
      <c r="B572" s="16"/>
      <c r="C572" s="16"/>
      <c r="D572" s="16" t="s">
        <v>569</v>
      </c>
      <c r="E572" s="17">
        <v>66.5414671292973</v>
      </c>
      <c r="F572" s="21">
        <f>Tabelle1!E571-Hoja1!E572</f>
        <v>-67.27819973</v>
      </c>
      <c r="G572" s="16">
        <f t="shared" si="1"/>
        <v>67.27819973</v>
      </c>
      <c r="H572" s="16"/>
      <c r="I572" s="17">
        <v>60.0599999999976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ht="15.75" customHeight="1">
      <c r="A573" s="16"/>
      <c r="B573" s="16"/>
      <c r="C573" s="16"/>
      <c r="D573" s="16" t="s">
        <v>570</v>
      </c>
      <c r="E573" s="17">
        <v>84.4357873510319</v>
      </c>
      <c r="F573" s="21">
        <f>Tabelle1!E572-Hoja1!E573</f>
        <v>-85.17251995</v>
      </c>
      <c r="G573" s="16">
        <f t="shared" si="1"/>
        <v>85.17251995</v>
      </c>
      <c r="H573" s="16"/>
      <c r="I573" s="17">
        <v>97.719999999972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ht="15.75" customHeight="1">
      <c r="A574" s="16"/>
      <c r="B574" s="16"/>
      <c r="C574" s="16"/>
      <c r="D574" s="16" t="s">
        <v>571</v>
      </c>
      <c r="E574" s="17">
        <v>109.571634792399</v>
      </c>
      <c r="F574" s="21">
        <f>Tabelle1!E573-Hoja1!E574</f>
        <v>-110.3083674</v>
      </c>
      <c r="G574" s="16">
        <f t="shared" si="1"/>
        <v>110.3083674</v>
      </c>
      <c r="H574" s="16"/>
      <c r="I574" s="17">
        <v>83.2399999999906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ht="15.75" customHeight="1">
      <c r="A575" s="16"/>
      <c r="B575" s="16"/>
      <c r="C575" s="16"/>
      <c r="D575" s="16" t="s">
        <v>572</v>
      </c>
      <c r="E575" s="17">
        <v>116.378687457336</v>
      </c>
      <c r="F575" s="21">
        <f>Tabelle1!E574-Hoja1!E575</f>
        <v>-117.1154201</v>
      </c>
      <c r="G575" s="16">
        <f t="shared" si="1"/>
        <v>117.1154201</v>
      </c>
      <c r="H575" s="16"/>
      <c r="I575" s="17">
        <v>50.7000000000116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ht="15.75" customHeight="1">
      <c r="A576" s="16"/>
      <c r="B576" s="16"/>
      <c r="C576" s="16"/>
      <c r="D576" s="16" t="s">
        <v>573</v>
      </c>
      <c r="E576" s="17">
        <v>107.884296210628</v>
      </c>
      <c r="F576" s="21">
        <f>Tabelle1!E575-Hoja1!E576</f>
        <v>-108.6210288</v>
      </c>
      <c r="G576" s="16">
        <f t="shared" si="1"/>
        <v>108.6210288</v>
      </c>
      <c r="H576" s="16"/>
      <c r="I576" s="17">
        <v>37.2000000000116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ht="15.75" customHeight="1">
      <c r="A577" s="16"/>
      <c r="B577" s="16"/>
      <c r="C577" s="16"/>
      <c r="D577" s="16" t="s">
        <v>574</v>
      </c>
      <c r="E577" s="17">
        <v>89.864889090666</v>
      </c>
      <c r="F577" s="21">
        <f>Tabelle1!E576-Hoja1!E577</f>
        <v>-90.60162169</v>
      </c>
      <c r="G577" s="16">
        <f t="shared" si="1"/>
        <v>90.60162169</v>
      </c>
      <c r="H577" s="16"/>
      <c r="I577" s="17">
        <v>95.6199999999953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ht="15.75" customHeight="1">
      <c r="A578" s="16"/>
      <c r="B578" s="16"/>
      <c r="C578" s="16"/>
      <c r="D578" s="16" t="s">
        <v>575</v>
      </c>
      <c r="E578" s="17">
        <v>45.2348895379558</v>
      </c>
      <c r="F578" s="16">
        <f>Tabelle1!E577-Hoja1!E578</f>
        <v>-45.8811951</v>
      </c>
      <c r="G578" s="16">
        <f t="shared" si="1"/>
        <v>45.8811951</v>
      </c>
      <c r="H578" s="16"/>
      <c r="I578" s="17">
        <v>61.1199999999953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ht="15.75" customHeight="1">
      <c r="A579" s="16"/>
      <c r="B579" s="16"/>
      <c r="C579" s="16"/>
      <c r="D579" s="16" t="s">
        <v>576</v>
      </c>
      <c r="E579" s="17">
        <v>22.5320846437449</v>
      </c>
      <c r="F579" s="16">
        <f>Tabelle1!E578-Hoja1!E579</f>
        <v>-22.77590416</v>
      </c>
      <c r="G579" s="16">
        <f t="shared" si="1"/>
        <v>22.77590416</v>
      </c>
      <c r="H579" s="16"/>
      <c r="I579" s="17">
        <v>23.7200000000302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ht="15.75" customHeight="1">
      <c r="A580" s="16"/>
      <c r="B580" s="16"/>
      <c r="C580" s="16"/>
      <c r="D580" s="16" t="s">
        <v>577</v>
      </c>
      <c r="E580" s="17">
        <v>3.75662250245459</v>
      </c>
      <c r="F580" s="16">
        <f>Tabelle1!E579-Hoja1!E580</f>
        <v>-3.763275536</v>
      </c>
      <c r="G580" s="16">
        <f t="shared" si="1"/>
        <v>3.763275536</v>
      </c>
      <c r="H580" s="16"/>
      <c r="I580" s="17">
        <v>4.10999999998603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ht="15.75" customHeight="1">
      <c r="A581" s="16"/>
      <c r="B581" s="16"/>
      <c r="C581" s="16"/>
      <c r="D581" s="16" t="s">
        <v>578</v>
      </c>
      <c r="E581" s="17">
        <v>0.0</v>
      </c>
      <c r="F581" s="16">
        <f>Tabelle1!E580-Hoja1!E581</f>
        <v>0.15968363</v>
      </c>
      <c r="G581" s="16">
        <f t="shared" si="1"/>
        <v>0.15968363</v>
      </c>
      <c r="H581" s="16"/>
      <c r="I581" s="17">
        <v>0.0200000000186264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ht="15.75" customHeight="1">
      <c r="A582" s="16"/>
      <c r="B582" s="16"/>
      <c r="C582" s="16"/>
      <c r="D582" s="16" t="s">
        <v>579</v>
      </c>
      <c r="E582" s="17">
        <v>0.0</v>
      </c>
      <c r="F582" s="16">
        <f>Tabelle1!E581-Hoja1!E582</f>
        <v>0.1681411</v>
      </c>
      <c r="G582" s="16">
        <f t="shared" si="1"/>
        <v>0.1681411</v>
      </c>
      <c r="H582" s="16"/>
      <c r="I582" s="17">
        <v>0.0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ht="15.75" customHeight="1">
      <c r="A583" s="16"/>
      <c r="B583" s="16"/>
      <c r="C583" s="16"/>
      <c r="D583" s="16" t="s">
        <v>580</v>
      </c>
      <c r="E583" s="17">
        <v>0.0</v>
      </c>
      <c r="F583" s="16">
        <f>Tabelle1!E582-Hoja1!E583</f>
        <v>0.1681411</v>
      </c>
      <c r="G583" s="16">
        <f t="shared" si="1"/>
        <v>0.1681411</v>
      </c>
      <c r="H583" s="16"/>
      <c r="I583" s="17">
        <v>0.0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ht="15.75" customHeight="1">
      <c r="A584" s="16"/>
      <c r="B584" s="16"/>
      <c r="C584" s="16"/>
      <c r="D584" s="16" t="s">
        <v>581</v>
      </c>
      <c r="E584" s="17">
        <v>0.0</v>
      </c>
      <c r="F584" s="20">
        <f>Tabelle1!E583-Hoja1!E584</f>
        <v>0.09715321</v>
      </c>
      <c r="G584" s="16">
        <f t="shared" si="1"/>
        <v>0.09715321</v>
      </c>
      <c r="H584" s="16"/>
      <c r="I584" s="17">
        <v>0.0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ht="15.75" customHeight="1">
      <c r="A585" s="16"/>
      <c r="B585" s="16"/>
      <c r="C585" s="16"/>
      <c r="D585" s="16" t="s">
        <v>582</v>
      </c>
      <c r="E585" s="17">
        <v>0.0</v>
      </c>
      <c r="F585" s="20">
        <f>Tabelle1!E584-Hoja1!E585</f>
        <v>0.09715321</v>
      </c>
      <c r="G585" s="16">
        <f t="shared" si="1"/>
        <v>0.09715321</v>
      </c>
      <c r="H585" s="16"/>
      <c r="I585" s="17">
        <v>0.0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ht="15.75" customHeight="1">
      <c r="A586" s="16"/>
      <c r="B586" s="16"/>
      <c r="C586" s="16"/>
      <c r="D586" s="16" t="s">
        <v>583</v>
      </c>
      <c r="E586" s="17">
        <v>0.0</v>
      </c>
      <c r="F586" s="20">
        <f>Tabelle1!E585-Hoja1!E586</f>
        <v>0.09715321</v>
      </c>
      <c r="G586" s="16">
        <f t="shared" si="1"/>
        <v>0.09715321</v>
      </c>
      <c r="H586" s="16"/>
      <c r="I586" s="17">
        <v>0.0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ht="15.75" customHeight="1">
      <c r="A587" s="16"/>
      <c r="B587" s="16"/>
      <c r="C587" s="16"/>
      <c r="D587" s="16" t="s">
        <v>584</v>
      </c>
      <c r="E587" s="17">
        <v>0.0</v>
      </c>
      <c r="F587" s="20">
        <f>Tabelle1!E586-Hoja1!E587</f>
        <v>0.09715321</v>
      </c>
      <c r="G587" s="16">
        <f t="shared" si="1"/>
        <v>0.09715321</v>
      </c>
      <c r="H587" s="16"/>
      <c r="I587" s="17">
        <v>0.0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ht="15.75" customHeight="1">
      <c r="A588" s="16"/>
      <c r="B588" s="16"/>
      <c r="C588" s="16"/>
      <c r="D588" s="16" t="s">
        <v>585</v>
      </c>
      <c r="E588" s="17">
        <v>0.0</v>
      </c>
      <c r="F588" s="20">
        <f>Tabelle1!E587-Hoja1!E588</f>
        <v>0.09715321</v>
      </c>
      <c r="G588" s="16">
        <f t="shared" si="1"/>
        <v>0.09715321</v>
      </c>
      <c r="H588" s="16"/>
      <c r="I588" s="17">
        <v>0.0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ht="15.75" customHeight="1">
      <c r="A589" s="16"/>
      <c r="B589" s="16"/>
      <c r="C589" s="16"/>
      <c r="D589" s="16" t="s">
        <v>586</v>
      </c>
      <c r="E589" s="17">
        <v>0.0</v>
      </c>
      <c r="F589" s="20">
        <f>Tabelle1!E588-Hoja1!E589</f>
        <v>0.09715321</v>
      </c>
      <c r="G589" s="16">
        <f t="shared" si="1"/>
        <v>0.09715321</v>
      </c>
      <c r="H589" s="16"/>
      <c r="I589" s="17">
        <v>0.0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ht="15.75" customHeight="1">
      <c r="A590" s="16"/>
      <c r="B590" s="16"/>
      <c r="C590" s="16"/>
      <c r="D590" s="16" t="s">
        <v>587</v>
      </c>
      <c r="E590" s="17">
        <v>0.0</v>
      </c>
      <c r="F590" s="20">
        <f>Tabelle1!E589-Hoja1!E590</f>
        <v>0.09715321</v>
      </c>
      <c r="G590" s="16">
        <f t="shared" si="1"/>
        <v>0.09715321</v>
      </c>
      <c r="H590" s="16"/>
      <c r="I590" s="17">
        <v>0.0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ht="15.75" customHeight="1">
      <c r="A591" s="16"/>
      <c r="B591" s="16"/>
      <c r="C591" s="16"/>
      <c r="D591" s="16" t="s">
        <v>588</v>
      </c>
      <c r="E591" s="17">
        <v>0.0</v>
      </c>
      <c r="F591" s="20">
        <f>Tabelle1!E590-Hoja1!E591</f>
        <v>0.09715321</v>
      </c>
      <c r="G591" s="16">
        <f t="shared" si="1"/>
        <v>0.09715321</v>
      </c>
      <c r="H591" s="16"/>
      <c r="I591" s="17">
        <v>0.0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ht="15.75" customHeight="1">
      <c r="A592" s="16"/>
      <c r="B592" s="16"/>
      <c r="C592" s="16"/>
      <c r="D592" s="16" t="s">
        <v>589</v>
      </c>
      <c r="E592" s="17">
        <v>0.0</v>
      </c>
      <c r="F592" s="16">
        <f>Tabelle1!E591-Hoja1!E592</f>
        <v>0.09715321</v>
      </c>
      <c r="G592" s="16">
        <f t="shared" si="1"/>
        <v>0.09715321</v>
      </c>
      <c r="H592" s="16"/>
      <c r="I592" s="17">
        <v>0.0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ht="15.75" customHeight="1">
      <c r="A593" s="16"/>
      <c r="B593" s="16"/>
      <c r="C593" s="16"/>
      <c r="D593" s="16" t="s">
        <v>590</v>
      </c>
      <c r="E593" s="17">
        <v>1.99490415666166</v>
      </c>
      <c r="F593" s="21">
        <f>Tabelle1!E592-Hoja1!E593</f>
        <v>-1.808326527</v>
      </c>
      <c r="G593" s="16">
        <f t="shared" si="1"/>
        <v>1.808326527</v>
      </c>
      <c r="H593" s="16"/>
      <c r="I593" s="17">
        <v>2.88000000000465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ht="15.75" customHeight="1">
      <c r="A594" s="16"/>
      <c r="B594" s="16"/>
      <c r="C594" s="16"/>
      <c r="D594" s="16" t="s">
        <v>591</v>
      </c>
      <c r="E594" s="17">
        <v>17.7957259119338</v>
      </c>
      <c r="F594" s="21">
        <f>Tabelle1!E593-Hoja1!E594</f>
        <v>-18.13506609</v>
      </c>
      <c r="G594" s="16">
        <f t="shared" si="1"/>
        <v>18.13506609</v>
      </c>
      <c r="H594" s="16"/>
      <c r="I594" s="17">
        <v>17.469999999972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ht="15.75" customHeight="1">
      <c r="A595" s="16"/>
      <c r="B595" s="16"/>
      <c r="C595" s="16"/>
      <c r="D595" s="16" t="s">
        <v>592</v>
      </c>
      <c r="E595" s="17">
        <v>28.3870183678872</v>
      </c>
      <c r="F595" s="21">
        <f>Tabelle1!E594-Hoja1!E595</f>
        <v>-29.12375097</v>
      </c>
      <c r="G595" s="16">
        <f t="shared" si="1"/>
        <v>29.12375097</v>
      </c>
      <c r="H595" s="16"/>
      <c r="I595" s="17">
        <v>20.7800000000279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ht="15.75" customHeight="1">
      <c r="A596" s="16"/>
      <c r="B596" s="16"/>
      <c r="C596" s="16"/>
      <c r="D596" s="16" t="s">
        <v>593</v>
      </c>
      <c r="E596" s="17">
        <v>26.3619567687089</v>
      </c>
      <c r="F596" s="21">
        <f>Tabelle1!E595-Hoja1!E596</f>
        <v>-27.09868937</v>
      </c>
      <c r="G596" s="16">
        <f t="shared" si="1"/>
        <v>27.09868937</v>
      </c>
      <c r="H596" s="16"/>
      <c r="I596" s="17">
        <v>39.2399999999906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ht="15.75" customHeight="1">
      <c r="A597" s="16"/>
      <c r="B597" s="16"/>
      <c r="C597" s="16"/>
      <c r="D597" s="16" t="s">
        <v>594</v>
      </c>
      <c r="E597" s="17">
        <v>30.3280237992928</v>
      </c>
      <c r="F597" s="21">
        <f>Tabelle1!E596-Hoja1!E597</f>
        <v>-31.0647564</v>
      </c>
      <c r="G597" s="16">
        <f t="shared" si="1"/>
        <v>31.0647564</v>
      </c>
      <c r="H597" s="16"/>
      <c r="I597" s="17">
        <v>78.2399999999906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ht="15.75" customHeight="1">
      <c r="A598" s="16"/>
      <c r="B598" s="16"/>
      <c r="C598" s="16"/>
      <c r="D598" s="16" t="s">
        <v>595</v>
      </c>
      <c r="E598" s="17">
        <v>27.0252033534544</v>
      </c>
      <c r="F598" s="21">
        <f>Tabelle1!E597-Hoja1!E598</f>
        <v>-27.76193595</v>
      </c>
      <c r="G598" s="16">
        <f t="shared" si="1"/>
        <v>27.76193595</v>
      </c>
      <c r="H598" s="16"/>
      <c r="I598" s="17">
        <v>60.8499999999767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ht="15.75" customHeight="1">
      <c r="A599" s="16"/>
      <c r="B599" s="16"/>
      <c r="C599" s="16"/>
      <c r="D599" s="16" t="s">
        <v>596</v>
      </c>
      <c r="E599" s="17">
        <v>24.8613909836331</v>
      </c>
      <c r="F599" s="21">
        <f>Tabelle1!E598-Hoja1!E599</f>
        <v>-25.59812358</v>
      </c>
      <c r="G599" s="16">
        <f t="shared" si="1"/>
        <v>25.59812358</v>
      </c>
      <c r="H599" s="16"/>
      <c r="I599" s="17">
        <v>62.2999999999883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ht="15.75" customHeight="1">
      <c r="A600" s="16"/>
      <c r="B600" s="16"/>
      <c r="C600" s="16"/>
      <c r="D600" s="16" t="s">
        <v>597</v>
      </c>
      <c r="E600" s="17">
        <v>71.8856207721403</v>
      </c>
      <c r="F600" s="21">
        <f>Tabelle1!E599-Hoja1!E600</f>
        <v>-72.62235337</v>
      </c>
      <c r="G600" s="16">
        <f t="shared" si="1"/>
        <v>72.62235337</v>
      </c>
      <c r="H600" s="16"/>
      <c r="I600" s="17">
        <v>40.1000000000349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ht="15.75" customHeight="1">
      <c r="A601" s="16"/>
      <c r="B601" s="16"/>
      <c r="C601" s="16"/>
      <c r="D601" s="16" t="s">
        <v>598</v>
      </c>
      <c r="E601" s="17">
        <v>29.5644789151427</v>
      </c>
      <c r="F601" s="16">
        <f>Tabelle1!E600-Hoja1!E601</f>
        <v>-30.30121152</v>
      </c>
      <c r="G601" s="16">
        <f t="shared" si="1"/>
        <v>30.30121152</v>
      </c>
      <c r="H601" s="16"/>
      <c r="I601" s="17">
        <v>67.6900000000023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ht="15.75" customHeight="1">
      <c r="A602" s="16"/>
      <c r="B602" s="16"/>
      <c r="C602" s="16"/>
      <c r="D602" s="16" t="s">
        <v>599</v>
      </c>
      <c r="E602" s="17">
        <v>48.1042251768457</v>
      </c>
      <c r="F602" s="16">
        <f>Tabelle1!E601-Hoja1!E602</f>
        <v>-48.75053074</v>
      </c>
      <c r="G602" s="16">
        <f t="shared" si="1"/>
        <v>48.75053074</v>
      </c>
      <c r="H602" s="16"/>
      <c r="I602" s="17">
        <v>66.149999999965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ht="15.75" customHeight="1">
      <c r="A603" s="16"/>
      <c r="B603" s="16"/>
      <c r="C603" s="16"/>
      <c r="D603" s="16" t="s">
        <v>600</v>
      </c>
      <c r="E603" s="17">
        <v>18.2410253255164</v>
      </c>
      <c r="F603" s="16">
        <f>Tabelle1!E602-Hoja1!E603</f>
        <v>-18.48484485</v>
      </c>
      <c r="G603" s="16">
        <f t="shared" si="1"/>
        <v>18.48484485</v>
      </c>
      <c r="H603" s="16"/>
      <c r="I603" s="17">
        <v>35.7800000000279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ht="15.75" customHeight="1">
      <c r="A604" s="16"/>
      <c r="B604" s="16"/>
      <c r="C604" s="16"/>
      <c r="D604" s="16" t="s">
        <v>601</v>
      </c>
      <c r="E604" s="17">
        <v>2.92026483339879</v>
      </c>
      <c r="F604" s="16">
        <f>Tabelle1!E603-Hoja1!E604</f>
        <v>-2.926917867</v>
      </c>
      <c r="G604" s="16">
        <f t="shared" si="1"/>
        <v>2.926917867</v>
      </c>
      <c r="H604" s="16"/>
      <c r="I604" s="17">
        <v>6.5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ht="15.75" customHeight="1">
      <c r="A605" s="16"/>
      <c r="B605" s="16"/>
      <c r="C605" s="16"/>
      <c r="D605" s="16" t="s">
        <v>602</v>
      </c>
      <c r="E605" s="17">
        <v>0.0</v>
      </c>
      <c r="F605" s="16">
        <f>Tabelle1!E604-Hoja1!E605</f>
        <v>0.15968363</v>
      </c>
      <c r="G605" s="16">
        <f t="shared" si="1"/>
        <v>0.15968363</v>
      </c>
      <c r="H605" s="16"/>
      <c r="I605" s="17">
        <v>0.0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ht="15.75" customHeight="1">
      <c r="A606" s="16"/>
      <c r="B606" s="16"/>
      <c r="C606" s="16"/>
      <c r="D606" s="16" t="s">
        <v>603</v>
      </c>
      <c r="E606" s="17">
        <v>0.0</v>
      </c>
      <c r="F606" s="16">
        <f>Tabelle1!E605-Hoja1!E606</f>
        <v>0.1681411</v>
      </c>
      <c r="G606" s="16">
        <f t="shared" si="1"/>
        <v>0.1681411</v>
      </c>
      <c r="H606" s="16"/>
      <c r="I606" s="17">
        <v>0.0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ht="15.75" customHeight="1">
      <c r="A607" s="16"/>
      <c r="B607" s="16"/>
      <c r="C607" s="16"/>
      <c r="D607" s="16" t="s">
        <v>604</v>
      </c>
      <c r="E607" s="17">
        <v>0.0</v>
      </c>
      <c r="F607" s="16">
        <f>Tabelle1!E606-Hoja1!E607</f>
        <v>0.1681411</v>
      </c>
      <c r="G607" s="16">
        <f t="shared" si="1"/>
        <v>0.1681411</v>
      </c>
      <c r="H607" s="16"/>
      <c r="I607" s="17">
        <v>0.0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ht="15.75" customHeight="1">
      <c r="A608" s="16"/>
      <c r="B608" s="16"/>
      <c r="C608" s="16"/>
      <c r="D608" s="16" t="s">
        <v>605</v>
      </c>
      <c r="E608" s="17">
        <v>0.0</v>
      </c>
      <c r="F608" s="20">
        <f>Tabelle1!E607-Hoja1!E608</f>
        <v>0.09715321</v>
      </c>
      <c r="G608" s="16">
        <f t="shared" si="1"/>
        <v>0.09715321</v>
      </c>
      <c r="H608" s="16"/>
      <c r="I608" s="17">
        <v>0.0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ht="15.75" customHeight="1">
      <c r="A609" s="16"/>
      <c r="B609" s="16"/>
      <c r="C609" s="16"/>
      <c r="D609" s="16" t="s">
        <v>606</v>
      </c>
      <c r="E609" s="17">
        <v>0.0</v>
      </c>
      <c r="F609" s="20">
        <f>Tabelle1!E608-Hoja1!E609</f>
        <v>0.09715321</v>
      </c>
      <c r="G609" s="16">
        <f t="shared" si="1"/>
        <v>0.09715321</v>
      </c>
      <c r="H609" s="16"/>
      <c r="I609" s="17">
        <v>0.0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ht="15.75" customHeight="1">
      <c r="A610" s="16"/>
      <c r="B610" s="16"/>
      <c r="C610" s="16"/>
      <c r="D610" s="16" t="s">
        <v>607</v>
      </c>
      <c r="E610" s="17">
        <v>0.0</v>
      </c>
      <c r="F610" s="20">
        <f>Tabelle1!E609-Hoja1!E610</f>
        <v>0.09715321</v>
      </c>
      <c r="G610" s="16">
        <f t="shared" si="1"/>
        <v>0.09715321</v>
      </c>
      <c r="H610" s="16"/>
      <c r="I610" s="17">
        <v>0.0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ht="15.75" customHeight="1">
      <c r="A611" s="16"/>
      <c r="B611" s="16"/>
      <c r="C611" s="16"/>
      <c r="D611" s="16" t="s">
        <v>608</v>
      </c>
      <c r="E611" s="17">
        <v>0.0</v>
      </c>
      <c r="F611" s="20">
        <f>Tabelle1!E610-Hoja1!E611</f>
        <v>0.09715321</v>
      </c>
      <c r="G611" s="16">
        <f t="shared" si="1"/>
        <v>0.09715321</v>
      </c>
      <c r="H611" s="16"/>
      <c r="I611" s="17">
        <v>0.0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ht="15.75" customHeight="1">
      <c r="A612" s="16"/>
      <c r="B612" s="16"/>
      <c r="C612" s="16"/>
      <c r="D612" s="16" t="s">
        <v>609</v>
      </c>
      <c r="E612" s="17">
        <v>0.0</v>
      </c>
      <c r="F612" s="20">
        <f>Tabelle1!E611-Hoja1!E612</f>
        <v>0.09715321</v>
      </c>
      <c r="G612" s="16">
        <f t="shared" si="1"/>
        <v>0.09715321</v>
      </c>
      <c r="H612" s="16"/>
      <c r="I612" s="17">
        <v>0.0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ht="15.75" customHeight="1">
      <c r="A613" s="16"/>
      <c r="B613" s="16"/>
      <c r="C613" s="16"/>
      <c r="D613" s="16" t="s">
        <v>610</v>
      </c>
      <c r="E613" s="17">
        <v>0.0</v>
      </c>
      <c r="F613" s="20">
        <f>Tabelle1!E612-Hoja1!E613</f>
        <v>0.09715321</v>
      </c>
      <c r="G613" s="16">
        <f t="shared" si="1"/>
        <v>0.09715321</v>
      </c>
      <c r="H613" s="16"/>
      <c r="I613" s="17">
        <v>0.0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ht="15.75" customHeight="1">
      <c r="A614" s="16"/>
      <c r="B614" s="16"/>
      <c r="C614" s="16"/>
      <c r="D614" s="16" t="s">
        <v>611</v>
      </c>
      <c r="E614" s="17">
        <v>0.0</v>
      </c>
      <c r="F614" s="20">
        <f>Tabelle1!E613-Hoja1!E614</f>
        <v>0.09715321</v>
      </c>
      <c r="G614" s="16">
        <f t="shared" si="1"/>
        <v>0.09715321</v>
      </c>
      <c r="H614" s="16"/>
      <c r="I614" s="17">
        <v>0.0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ht="15.75" customHeight="1">
      <c r="A615" s="16"/>
      <c r="B615" s="16"/>
      <c r="C615" s="16"/>
      <c r="D615" s="16" t="s">
        <v>612</v>
      </c>
      <c r="E615" s="17">
        <v>0.0</v>
      </c>
      <c r="F615" s="20">
        <f>Tabelle1!E614-Hoja1!E615</f>
        <v>0.09715321</v>
      </c>
      <c r="G615" s="16">
        <f t="shared" si="1"/>
        <v>0.09715321</v>
      </c>
      <c r="H615" s="16"/>
      <c r="I615" s="17">
        <v>0.0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ht="15.75" customHeight="1">
      <c r="A616" s="16"/>
      <c r="B616" s="16"/>
      <c r="C616" s="16"/>
      <c r="D616" s="16" t="s">
        <v>613</v>
      </c>
      <c r="E616" s="17">
        <v>0.0</v>
      </c>
      <c r="F616" s="16">
        <f>Tabelle1!E615-Hoja1!E616</f>
        <v>0.09715321</v>
      </c>
      <c r="G616" s="16">
        <f t="shared" si="1"/>
        <v>0.09715321</v>
      </c>
      <c r="H616" s="16"/>
      <c r="I616" s="17">
        <v>0.0599999999976716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ht="15.75" customHeight="1">
      <c r="A617" s="16"/>
      <c r="B617" s="16"/>
      <c r="C617" s="16"/>
      <c r="D617" s="16" t="s">
        <v>614</v>
      </c>
      <c r="E617" s="17">
        <v>2.33585983135282</v>
      </c>
      <c r="F617" s="21">
        <f>Tabelle1!E616-Hoja1!E617</f>
        <v>-2.149282201</v>
      </c>
      <c r="G617" s="16">
        <f t="shared" si="1"/>
        <v>2.149282201</v>
      </c>
      <c r="H617" s="16"/>
      <c r="I617" s="17">
        <v>4.46000000002095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ht="15.75" customHeight="1">
      <c r="A618" s="16"/>
      <c r="B618" s="16"/>
      <c r="C618" s="16"/>
      <c r="D618" s="16" t="s">
        <v>615</v>
      </c>
      <c r="E618" s="17">
        <v>21.7024143087838</v>
      </c>
      <c r="F618" s="21">
        <f>Tabelle1!E617-Hoja1!E618</f>
        <v>-22.04175449</v>
      </c>
      <c r="G618" s="16">
        <f t="shared" si="1"/>
        <v>22.04175449</v>
      </c>
      <c r="H618" s="16"/>
      <c r="I618" s="17">
        <v>38.4199999999837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ht="15.75" customHeight="1">
      <c r="A619" s="16"/>
      <c r="B619" s="16"/>
      <c r="C619" s="16"/>
      <c r="D619" s="16" t="s">
        <v>616</v>
      </c>
      <c r="E619" s="17">
        <v>70.0611231157234</v>
      </c>
      <c r="F619" s="21">
        <f>Tabelle1!E618-Hoja1!E619</f>
        <v>-70.79785572</v>
      </c>
      <c r="G619" s="16">
        <f t="shared" si="1"/>
        <v>70.79785572</v>
      </c>
      <c r="H619" s="16"/>
      <c r="I619" s="17">
        <v>82.6500000000232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ht="15.75" customHeight="1">
      <c r="A620" s="16"/>
      <c r="B620" s="16"/>
      <c r="C620" s="16"/>
      <c r="D620" s="16" t="s">
        <v>617</v>
      </c>
      <c r="E620" s="17">
        <v>94.479692932698</v>
      </c>
      <c r="F620" s="21">
        <f>Tabelle1!E619-Hoja1!E620</f>
        <v>-95.21642553</v>
      </c>
      <c r="G620" s="16">
        <f t="shared" si="1"/>
        <v>95.21642553</v>
      </c>
      <c r="H620" s="16"/>
      <c r="I620" s="17">
        <v>63.0099999999511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ht="15.75" customHeight="1">
      <c r="A621" s="16"/>
      <c r="B621" s="16"/>
      <c r="C621" s="16"/>
      <c r="D621" s="16" t="s">
        <v>618</v>
      </c>
      <c r="E621" s="17">
        <v>120.516354248804</v>
      </c>
      <c r="F621" s="21">
        <f>Tabelle1!E620-Hoja1!E621</f>
        <v>-121.2530868</v>
      </c>
      <c r="G621" s="16">
        <f t="shared" si="1"/>
        <v>121.2530868</v>
      </c>
      <c r="H621" s="16"/>
      <c r="I621" s="17">
        <v>56.5200000000186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ht="15.75" customHeight="1">
      <c r="A622" s="16"/>
      <c r="B622" s="16"/>
      <c r="C622" s="16"/>
      <c r="D622" s="16" t="s">
        <v>619</v>
      </c>
      <c r="E622" s="17">
        <v>119.778626345167</v>
      </c>
      <c r="F622" s="21">
        <f>Tabelle1!E621-Hoja1!E622</f>
        <v>-120.5153589</v>
      </c>
      <c r="G622" s="16">
        <f t="shared" si="1"/>
        <v>120.5153589</v>
      </c>
      <c r="H622" s="16"/>
      <c r="I622" s="17">
        <v>34.8099999999976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ht="15.75" customHeight="1">
      <c r="A623" s="16"/>
      <c r="B623" s="16"/>
      <c r="C623" s="16"/>
      <c r="D623" s="16" t="s">
        <v>620</v>
      </c>
      <c r="E623" s="17">
        <v>71.6596697166329</v>
      </c>
      <c r="F623" s="21">
        <f>Tabelle1!E622-Hoja1!E623</f>
        <v>-72.39640232</v>
      </c>
      <c r="G623" s="16">
        <f t="shared" si="1"/>
        <v>72.39640232</v>
      </c>
      <c r="H623" s="16"/>
      <c r="I623" s="17">
        <v>89.6699999999837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ht="15.75" customHeight="1">
      <c r="A624" s="16"/>
      <c r="B624" s="16"/>
      <c r="C624" s="16"/>
      <c r="D624" s="16" t="s">
        <v>621</v>
      </c>
      <c r="E624" s="17">
        <v>28.59159136674</v>
      </c>
      <c r="F624" s="21">
        <f>Tabelle1!E623-Hoja1!E624</f>
        <v>-29.32832397</v>
      </c>
      <c r="G624" s="16">
        <f t="shared" si="1"/>
        <v>29.32832397</v>
      </c>
      <c r="H624" s="16"/>
      <c r="I624" s="17">
        <v>119.040000000037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ht="15.75" customHeight="1">
      <c r="A625" s="16"/>
      <c r="B625" s="16"/>
      <c r="C625" s="16"/>
      <c r="D625" s="16" t="s">
        <v>622</v>
      </c>
      <c r="E625" s="17">
        <v>25.3915743198497</v>
      </c>
      <c r="F625" s="21">
        <f>Tabelle1!E624-Hoja1!E625</f>
        <v>-26.12830692</v>
      </c>
      <c r="G625" s="16">
        <f t="shared" si="1"/>
        <v>26.12830692</v>
      </c>
      <c r="H625" s="16"/>
      <c r="I625" s="17">
        <v>51.9599999999627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ht="15.75" customHeight="1">
      <c r="A626" s="16"/>
      <c r="B626" s="16"/>
      <c r="C626" s="16"/>
      <c r="D626" s="16" t="s">
        <v>623</v>
      </c>
      <c r="E626" s="17">
        <v>27.2147291287771</v>
      </c>
      <c r="F626" s="16">
        <f>Tabelle1!E625-Hoja1!E626</f>
        <v>-27.86103469</v>
      </c>
      <c r="G626" s="16">
        <f t="shared" si="1"/>
        <v>27.86103469</v>
      </c>
      <c r="H626" s="16"/>
      <c r="I626" s="17">
        <v>22.3000000000465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ht="15.75" customHeight="1">
      <c r="A627" s="16"/>
      <c r="B627" s="16"/>
      <c r="C627" s="16"/>
      <c r="D627" s="16" t="s">
        <v>624</v>
      </c>
      <c r="E627" s="17">
        <v>16.9672218670327</v>
      </c>
      <c r="F627" s="16">
        <f>Tabelle1!E626-Hoja1!E627</f>
        <v>-17.21104139</v>
      </c>
      <c r="G627" s="16">
        <f t="shared" si="1"/>
        <v>17.21104139</v>
      </c>
      <c r="H627" s="16"/>
      <c r="I627" s="17">
        <v>41.609999999986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ht="15.75" customHeight="1">
      <c r="A628" s="16"/>
      <c r="B628" s="16"/>
      <c r="C628" s="16"/>
      <c r="D628" s="16" t="s">
        <v>625</v>
      </c>
      <c r="E628" s="17">
        <v>4.134408791821</v>
      </c>
      <c r="F628" s="16">
        <f>Tabelle1!E627-Hoja1!E628</f>
        <v>-4.141061826</v>
      </c>
      <c r="G628" s="16">
        <f t="shared" si="1"/>
        <v>4.141061826</v>
      </c>
      <c r="H628" s="16"/>
      <c r="I628" s="17">
        <v>7.07000000000698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ht="15.75" customHeight="1">
      <c r="A629" s="16"/>
      <c r="B629" s="16"/>
      <c r="C629" s="16"/>
      <c r="D629" s="16" t="s">
        <v>626</v>
      </c>
      <c r="E629" s="17">
        <v>0.0</v>
      </c>
      <c r="F629" s="16">
        <f>Tabelle1!E628-Hoja1!E629</f>
        <v>0.15968363</v>
      </c>
      <c r="G629" s="16">
        <f t="shared" si="1"/>
        <v>0.15968363</v>
      </c>
      <c r="H629" s="16"/>
      <c r="I629" s="17">
        <v>0.0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ht="15.75" customHeight="1">
      <c r="A630" s="16"/>
      <c r="B630" s="16"/>
      <c r="C630" s="16"/>
      <c r="D630" s="16" t="s">
        <v>627</v>
      </c>
      <c r="E630" s="17">
        <v>0.0</v>
      </c>
      <c r="F630" s="16">
        <f>Tabelle1!E629-Hoja1!E630</f>
        <v>0.1681411</v>
      </c>
      <c r="G630" s="16">
        <f t="shared" si="1"/>
        <v>0.1681411</v>
      </c>
      <c r="H630" s="16"/>
      <c r="I630" s="17">
        <v>0.0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ht="15.75" customHeight="1">
      <c r="A631" s="16"/>
      <c r="B631" s="16"/>
      <c r="C631" s="16"/>
      <c r="D631" s="16" t="s">
        <v>628</v>
      </c>
      <c r="E631" s="17">
        <v>0.0</v>
      </c>
      <c r="F631" s="16">
        <f>Tabelle1!E630-Hoja1!E631</f>
        <v>0.1681411</v>
      </c>
      <c r="G631" s="16">
        <f t="shared" si="1"/>
        <v>0.1681411</v>
      </c>
      <c r="H631" s="16"/>
      <c r="I631" s="17">
        <v>0.0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ht="15.75" customHeight="1">
      <c r="A632" s="16"/>
      <c r="B632" s="16"/>
      <c r="C632" s="16"/>
      <c r="D632" s="16" t="s">
        <v>629</v>
      </c>
      <c r="E632" s="17">
        <v>0.0</v>
      </c>
      <c r="F632" s="20">
        <f>Tabelle1!E631-Hoja1!E632</f>
        <v>0.10339576</v>
      </c>
      <c r="G632" s="16">
        <f t="shared" si="1"/>
        <v>0.10339576</v>
      </c>
      <c r="H632" s="16"/>
      <c r="I632" s="17">
        <v>0.0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ht="15.75" customHeight="1">
      <c r="A633" s="16"/>
      <c r="B633" s="16"/>
      <c r="C633" s="16"/>
      <c r="D633" s="16" t="s">
        <v>630</v>
      </c>
      <c r="E633" s="17">
        <v>0.0</v>
      </c>
      <c r="F633" s="20">
        <f>Tabelle1!E632-Hoja1!E633</f>
        <v>0.10339576</v>
      </c>
      <c r="G633" s="16">
        <f t="shared" si="1"/>
        <v>0.10339576</v>
      </c>
      <c r="H633" s="16"/>
      <c r="I633" s="17">
        <v>0.0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ht="15.75" customHeight="1">
      <c r="A634" s="16"/>
      <c r="B634" s="16"/>
      <c r="C634" s="16"/>
      <c r="D634" s="16" t="s">
        <v>631</v>
      </c>
      <c r="E634" s="17">
        <v>0.0</v>
      </c>
      <c r="F634" s="20">
        <f>Tabelle1!E633-Hoja1!E634</f>
        <v>0.10339576</v>
      </c>
      <c r="G634" s="16">
        <f t="shared" si="1"/>
        <v>0.10339576</v>
      </c>
      <c r="H634" s="16"/>
      <c r="I634" s="17">
        <v>0.0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ht="15.75" customHeight="1">
      <c r="A635" s="16"/>
      <c r="B635" s="16"/>
      <c r="C635" s="16"/>
      <c r="D635" s="16" t="s">
        <v>632</v>
      </c>
      <c r="E635" s="17">
        <v>0.0</v>
      </c>
      <c r="F635" s="20">
        <f>Tabelle1!E634-Hoja1!E635</f>
        <v>0.10339576</v>
      </c>
      <c r="G635" s="16">
        <f t="shared" si="1"/>
        <v>0.10339576</v>
      </c>
      <c r="H635" s="16"/>
      <c r="I635" s="17">
        <v>0.0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ht="15.75" customHeight="1">
      <c r="A636" s="16"/>
      <c r="B636" s="16"/>
      <c r="C636" s="16"/>
      <c r="D636" s="16" t="s">
        <v>633</v>
      </c>
      <c r="E636" s="17">
        <v>0.0</v>
      </c>
      <c r="F636" s="20">
        <f>Tabelle1!E635-Hoja1!E636</f>
        <v>0.10339576</v>
      </c>
      <c r="G636" s="16">
        <f t="shared" si="1"/>
        <v>0.10339576</v>
      </c>
      <c r="H636" s="16"/>
      <c r="I636" s="17">
        <v>0.0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ht="15.75" customHeight="1">
      <c r="A637" s="16"/>
      <c r="B637" s="16"/>
      <c r="C637" s="16"/>
      <c r="D637" s="16" t="s">
        <v>634</v>
      </c>
      <c r="E637" s="17">
        <v>0.0</v>
      </c>
      <c r="F637" s="20">
        <f>Tabelle1!E636-Hoja1!E637</f>
        <v>0.10339576</v>
      </c>
      <c r="G637" s="16">
        <f t="shared" si="1"/>
        <v>0.10339576</v>
      </c>
      <c r="H637" s="16"/>
      <c r="I637" s="17">
        <v>0.0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ht="15.75" customHeight="1">
      <c r="A638" s="16"/>
      <c r="B638" s="16"/>
      <c r="C638" s="16"/>
      <c r="D638" s="16" t="s">
        <v>635</v>
      </c>
      <c r="E638" s="17">
        <v>0.0</v>
      </c>
      <c r="F638" s="20">
        <f>Tabelle1!E637-Hoja1!E638</f>
        <v>0.10339576</v>
      </c>
      <c r="G638" s="16">
        <f t="shared" si="1"/>
        <v>0.10339576</v>
      </c>
      <c r="H638" s="16"/>
      <c r="I638" s="17">
        <v>0.0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ht="15.75" customHeight="1">
      <c r="A639" s="16"/>
      <c r="B639" s="16"/>
      <c r="C639" s="16"/>
      <c r="D639" s="16" t="s">
        <v>636</v>
      </c>
      <c r="E639" s="17">
        <v>0.0</v>
      </c>
      <c r="F639" s="20">
        <f>Tabelle1!E638-Hoja1!E639</f>
        <v>0.10339576</v>
      </c>
      <c r="G639" s="16">
        <f t="shared" si="1"/>
        <v>0.10339576</v>
      </c>
      <c r="H639" s="16"/>
      <c r="I639" s="17">
        <v>0.0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ht="15.75" customHeight="1">
      <c r="A640" s="16"/>
      <c r="B640" s="16"/>
      <c r="C640" s="16"/>
      <c r="D640" s="16" t="s">
        <v>637</v>
      </c>
      <c r="E640" s="17">
        <v>0.0</v>
      </c>
      <c r="F640" s="16">
        <f>Tabelle1!E639-Hoja1!E640</f>
        <v>0.10339576</v>
      </c>
      <c r="G640" s="16">
        <f t="shared" si="1"/>
        <v>0.10339576</v>
      </c>
      <c r="H640" s="16"/>
      <c r="I640" s="17">
        <v>0.0399999999790452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ht="15.75" customHeight="1">
      <c r="A641" s="16"/>
      <c r="B641" s="16"/>
      <c r="C641" s="16"/>
      <c r="D641" s="16" t="s">
        <v>638</v>
      </c>
      <c r="E641" s="17">
        <v>4.29200873560383</v>
      </c>
      <c r="F641" s="21">
        <f>Tabelle1!E640-Hoja1!E641</f>
        <v>-4.099188546</v>
      </c>
      <c r="G641" s="16">
        <f t="shared" si="1"/>
        <v>4.099188546</v>
      </c>
      <c r="H641" s="16"/>
      <c r="I641" s="17">
        <v>3.34000000002561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ht="15.75" customHeight="1">
      <c r="A642" s="16"/>
      <c r="B642" s="16"/>
      <c r="C642" s="16"/>
      <c r="D642" s="16" t="s">
        <v>639</v>
      </c>
      <c r="E642" s="17">
        <v>34.2029039558421</v>
      </c>
      <c r="F642" s="21">
        <f>Tabelle1!E641-Hoja1!E642</f>
        <v>-34.48436016</v>
      </c>
      <c r="G642" s="16">
        <f t="shared" si="1"/>
        <v>34.48436016</v>
      </c>
      <c r="H642" s="16"/>
      <c r="I642" s="17">
        <v>32.469999999972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ht="15.75" customHeight="1">
      <c r="A643" s="16"/>
      <c r="B643" s="16"/>
      <c r="C643" s="16"/>
      <c r="D643" s="16" t="s">
        <v>640</v>
      </c>
      <c r="E643" s="17">
        <v>79.8913077519351</v>
      </c>
      <c r="F643" s="21">
        <f>Tabelle1!E642-Hoja1!E643</f>
        <v>-80.55736675</v>
      </c>
      <c r="G643" s="16">
        <f t="shared" si="1"/>
        <v>80.55736675</v>
      </c>
      <c r="H643" s="16"/>
      <c r="I643" s="17">
        <v>87.7299999999813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ht="15.75" customHeight="1">
      <c r="A644" s="16"/>
      <c r="B644" s="16"/>
      <c r="C644" s="16"/>
      <c r="D644" s="16" t="s">
        <v>641</v>
      </c>
      <c r="E644" s="17">
        <v>114.000441406063</v>
      </c>
      <c r="F644" s="21">
        <f>Tabelle1!E643-Hoja1!E644</f>
        <v>-114.6665004</v>
      </c>
      <c r="G644" s="16">
        <f t="shared" si="1"/>
        <v>114.6665004</v>
      </c>
      <c r="H644" s="16"/>
      <c r="I644" s="17">
        <v>124.290000000037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ht="15.75" customHeight="1">
      <c r="A645" s="16"/>
      <c r="B645" s="16"/>
      <c r="C645" s="16"/>
      <c r="D645" s="16" t="s">
        <v>642</v>
      </c>
      <c r="E645" s="17">
        <v>135.50862225249</v>
      </c>
      <c r="F645" s="21">
        <f>Tabelle1!E644-Hoja1!E645</f>
        <v>-136.1746813</v>
      </c>
      <c r="G645" s="16">
        <f t="shared" si="1"/>
        <v>136.1746813</v>
      </c>
      <c r="H645" s="16"/>
      <c r="I645" s="17">
        <v>135.539999999979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ht="15.75" customHeight="1">
      <c r="A646" s="16"/>
      <c r="B646" s="16"/>
      <c r="C646" s="16"/>
      <c r="D646" s="16" t="s">
        <v>643</v>
      </c>
      <c r="E646" s="17">
        <v>133.644134727062</v>
      </c>
      <c r="F646" s="21">
        <f>Tabelle1!E645-Hoja1!E646</f>
        <v>-134.3101937</v>
      </c>
      <c r="G646" s="16">
        <f t="shared" si="1"/>
        <v>134.3101937</v>
      </c>
      <c r="H646" s="16"/>
      <c r="I646" s="17">
        <v>135.070000000006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ht="15.75" customHeight="1">
      <c r="A647" s="16"/>
      <c r="B647" s="16"/>
      <c r="C647" s="16"/>
      <c r="D647" s="16" t="s">
        <v>644</v>
      </c>
      <c r="E647" s="17">
        <v>128.901404240713</v>
      </c>
      <c r="F647" s="21">
        <f>Tabelle1!E646-Hoja1!E647</f>
        <v>-129.5674632</v>
      </c>
      <c r="G647" s="16">
        <f t="shared" si="1"/>
        <v>129.5674632</v>
      </c>
      <c r="H647" s="16"/>
      <c r="I647" s="17">
        <v>114.119999999995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ht="15.75" customHeight="1">
      <c r="A648" s="16"/>
      <c r="B648" s="16"/>
      <c r="C648" s="16"/>
      <c r="D648" s="16" t="s">
        <v>645</v>
      </c>
      <c r="E648" s="17">
        <v>120.829414412456</v>
      </c>
      <c r="F648" s="21">
        <f>Tabelle1!E647-Hoja1!E648</f>
        <v>-121.4954734</v>
      </c>
      <c r="G648" s="16">
        <f t="shared" si="1"/>
        <v>121.4954734</v>
      </c>
      <c r="H648" s="16"/>
      <c r="I648" s="17">
        <v>132.650000000023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ht="15.75" customHeight="1">
      <c r="A649" s="16"/>
      <c r="B649" s="16"/>
      <c r="C649" s="16"/>
      <c r="D649" s="16" t="s">
        <v>646</v>
      </c>
      <c r="E649" s="17">
        <v>104.657469871113</v>
      </c>
      <c r="F649" s="21">
        <f>Tabelle1!E648-Hoja1!E649</f>
        <v>-105.3235289</v>
      </c>
      <c r="G649" s="16">
        <f t="shared" si="1"/>
        <v>105.3235289</v>
      </c>
      <c r="H649" s="16"/>
      <c r="I649" s="17">
        <v>45.8099999999976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ht="15.75" customHeight="1">
      <c r="A650" s="16"/>
      <c r="B650" s="16"/>
      <c r="C650" s="16"/>
      <c r="D650" s="16" t="s">
        <v>647</v>
      </c>
      <c r="E650" s="17">
        <v>73.6569972964501</v>
      </c>
      <c r="F650" s="21">
        <f>Tabelle1!E649-Hoja1!E650</f>
        <v>-74.23262916</v>
      </c>
      <c r="G650" s="16">
        <f t="shared" si="1"/>
        <v>74.23262916</v>
      </c>
      <c r="H650" s="16"/>
      <c r="I650" s="17">
        <v>48.1599999999743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ht="15.75" customHeight="1">
      <c r="A651" s="16"/>
      <c r="B651" s="16"/>
      <c r="C651" s="16"/>
      <c r="D651" s="16" t="s">
        <v>648</v>
      </c>
      <c r="E651" s="17">
        <v>26.0846085444175</v>
      </c>
      <c r="F651" s="16">
        <f>Tabelle1!E650-Hoja1!E651</f>
        <v>-26.25775444</v>
      </c>
      <c r="G651" s="16">
        <f t="shared" si="1"/>
        <v>26.25775444</v>
      </c>
      <c r="H651" s="16"/>
      <c r="I651" s="17">
        <v>21.0499999999883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ht="15.75" customHeight="1">
      <c r="A652" s="16"/>
      <c r="B652" s="16"/>
      <c r="C652" s="16"/>
      <c r="D652" s="16" t="s">
        <v>649</v>
      </c>
      <c r="E652" s="17">
        <v>3.88372896455562</v>
      </c>
      <c r="F652" s="16">
        <f>Tabelle1!E651-Hoja1!E652</f>
        <v>-3.819708421</v>
      </c>
      <c r="G652" s="16">
        <f t="shared" si="1"/>
        <v>3.819708421</v>
      </c>
      <c r="H652" s="16"/>
      <c r="I652" s="17">
        <v>5.51000000000931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ht="15.75" customHeight="1">
      <c r="A653" s="16"/>
      <c r="B653" s="16"/>
      <c r="C653" s="16"/>
      <c r="D653" s="16" t="s">
        <v>650</v>
      </c>
      <c r="E653" s="17">
        <v>0.0</v>
      </c>
      <c r="F653" s="16">
        <f>Tabelle1!E652-Hoja1!E653</f>
        <v>0.17871587</v>
      </c>
      <c r="G653" s="16">
        <f t="shared" si="1"/>
        <v>0.17871587</v>
      </c>
      <c r="H653" s="16"/>
      <c r="I653" s="17">
        <v>0.0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ht="15.75" customHeight="1">
      <c r="A654" s="16"/>
      <c r="B654" s="16"/>
      <c r="C654" s="16"/>
      <c r="D654" s="16" t="s">
        <v>651</v>
      </c>
      <c r="E654" s="17">
        <v>0.0</v>
      </c>
      <c r="F654" s="16">
        <f>Tabelle1!E653-Hoja1!E654</f>
        <v>0.18717334</v>
      </c>
      <c r="G654" s="16">
        <f t="shared" si="1"/>
        <v>0.18717334</v>
      </c>
      <c r="H654" s="16"/>
      <c r="I654" s="17">
        <v>0.0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ht="15.75" customHeight="1">
      <c r="A655" s="16"/>
      <c r="B655" s="16"/>
      <c r="C655" s="16"/>
      <c r="D655" s="16" t="s">
        <v>652</v>
      </c>
      <c r="E655" s="17">
        <v>0.0</v>
      </c>
      <c r="F655" s="16">
        <f>Tabelle1!E654-Hoja1!E655</f>
        <v>0.18717334</v>
      </c>
      <c r="G655" s="16">
        <f t="shared" si="1"/>
        <v>0.18717334</v>
      </c>
      <c r="H655" s="16"/>
      <c r="I655" s="17">
        <v>0.0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ht="15.75" customHeight="1">
      <c r="A656" s="16"/>
      <c r="B656" s="16"/>
      <c r="C656" s="16"/>
      <c r="D656" s="16" t="s">
        <v>653</v>
      </c>
      <c r="E656" s="17">
        <v>0.0</v>
      </c>
      <c r="F656" s="20">
        <f>Tabelle1!E655-Hoja1!E656</f>
        <v>0.10352066</v>
      </c>
      <c r="G656" s="16">
        <f t="shared" si="1"/>
        <v>0.10352066</v>
      </c>
      <c r="H656" s="16"/>
      <c r="I656" s="17">
        <v>0.0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ht="15.75" customHeight="1">
      <c r="A657" s="16"/>
      <c r="B657" s="16"/>
      <c r="C657" s="16"/>
      <c r="D657" s="16" t="s">
        <v>654</v>
      </c>
      <c r="E657" s="17">
        <v>0.0</v>
      </c>
      <c r="F657" s="20">
        <f>Tabelle1!E656-Hoja1!E657</f>
        <v>0.10352066</v>
      </c>
      <c r="G657" s="16">
        <f t="shared" si="1"/>
        <v>0.10352066</v>
      </c>
      <c r="H657" s="16"/>
      <c r="I657" s="17">
        <v>0.0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ht="15.75" customHeight="1">
      <c r="A658" s="16"/>
      <c r="B658" s="16"/>
      <c r="C658" s="16"/>
      <c r="D658" s="16" t="s">
        <v>655</v>
      </c>
      <c r="E658" s="17">
        <v>0.0</v>
      </c>
      <c r="F658" s="20">
        <f>Tabelle1!E657-Hoja1!E658</f>
        <v>0.10352066</v>
      </c>
      <c r="G658" s="16">
        <f t="shared" si="1"/>
        <v>0.10352066</v>
      </c>
      <c r="H658" s="16"/>
      <c r="I658" s="17">
        <v>0.0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ht="15.75" customHeight="1">
      <c r="A659" s="16"/>
      <c r="B659" s="16"/>
      <c r="C659" s="16"/>
      <c r="D659" s="16" t="s">
        <v>656</v>
      </c>
      <c r="E659" s="17">
        <v>0.0</v>
      </c>
      <c r="F659" s="20">
        <f>Tabelle1!E658-Hoja1!E659</f>
        <v>0.10352066</v>
      </c>
      <c r="G659" s="16">
        <f t="shared" si="1"/>
        <v>0.10352066</v>
      </c>
      <c r="H659" s="16"/>
      <c r="I659" s="17">
        <v>0.0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ht="15.75" customHeight="1">
      <c r="A660" s="16"/>
      <c r="B660" s="16"/>
      <c r="C660" s="16"/>
      <c r="D660" s="16" t="s">
        <v>657</v>
      </c>
      <c r="E660" s="17">
        <v>0.0</v>
      </c>
      <c r="F660" s="20">
        <f>Tabelle1!E659-Hoja1!E660</f>
        <v>0.10352066</v>
      </c>
      <c r="G660" s="16">
        <f t="shared" si="1"/>
        <v>0.10352066</v>
      </c>
      <c r="H660" s="16"/>
      <c r="I660" s="17">
        <v>0.0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ht="15.75" customHeight="1">
      <c r="A661" s="16"/>
      <c r="B661" s="16"/>
      <c r="C661" s="16"/>
      <c r="D661" s="16" t="s">
        <v>658</v>
      </c>
      <c r="E661" s="17">
        <v>0.0</v>
      </c>
      <c r="F661" s="20">
        <f>Tabelle1!E660-Hoja1!E661</f>
        <v>0.10352066</v>
      </c>
      <c r="G661" s="16">
        <f t="shared" si="1"/>
        <v>0.10352066</v>
      </c>
      <c r="H661" s="16"/>
      <c r="I661" s="17">
        <v>0.0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ht="15.75" customHeight="1">
      <c r="A662" s="16"/>
      <c r="B662" s="16"/>
      <c r="C662" s="16"/>
      <c r="D662" s="16" t="s">
        <v>659</v>
      </c>
      <c r="E662" s="17">
        <v>0.0</v>
      </c>
      <c r="F662" s="20">
        <f>Tabelle1!E661-Hoja1!E662</f>
        <v>0.10352066</v>
      </c>
      <c r="G662" s="16">
        <f t="shared" si="1"/>
        <v>0.10352066</v>
      </c>
      <c r="H662" s="16"/>
      <c r="I662" s="17">
        <v>0.0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ht="15.75" customHeight="1">
      <c r="A663" s="16"/>
      <c r="B663" s="16"/>
      <c r="C663" s="16"/>
      <c r="D663" s="16" t="s">
        <v>660</v>
      </c>
      <c r="E663" s="17">
        <v>0.0</v>
      </c>
      <c r="F663" s="20">
        <f>Tabelle1!E662-Hoja1!E663</f>
        <v>0.10352066</v>
      </c>
      <c r="G663" s="16">
        <f t="shared" si="1"/>
        <v>0.10352066</v>
      </c>
      <c r="H663" s="16"/>
      <c r="I663" s="17">
        <v>0.0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ht="15.75" customHeight="1">
      <c r="A664" s="16"/>
      <c r="B664" s="16"/>
      <c r="C664" s="16"/>
      <c r="D664" s="16" t="s">
        <v>661</v>
      </c>
      <c r="E664" s="17">
        <v>0.0</v>
      </c>
      <c r="F664" s="16">
        <f>Tabelle1!E663-Hoja1!E664</f>
        <v>0.10352066</v>
      </c>
      <c r="G664" s="16">
        <f t="shared" si="1"/>
        <v>0.10352066</v>
      </c>
      <c r="H664" s="16"/>
      <c r="I664" s="17">
        <v>0.0200000000186264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ht="15.75" customHeight="1">
      <c r="A665" s="16"/>
      <c r="B665" s="16"/>
      <c r="C665" s="16"/>
      <c r="D665" s="16" t="s">
        <v>662</v>
      </c>
      <c r="E665" s="17">
        <v>3.19635745970701</v>
      </c>
      <c r="F665" s="21">
        <f>Tabelle1!E664-Hoja1!E665</f>
        <v>-3.00341236</v>
      </c>
      <c r="G665" s="16">
        <f t="shared" si="1"/>
        <v>3.00341236</v>
      </c>
      <c r="H665" s="16"/>
      <c r="I665" s="17">
        <v>0.630000000004656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ht="15.75" customHeight="1">
      <c r="A666" s="16"/>
      <c r="B666" s="16"/>
      <c r="C666" s="16"/>
      <c r="D666" s="16" t="s">
        <v>663</v>
      </c>
      <c r="E666" s="17">
        <v>31.0384678373045</v>
      </c>
      <c r="F666" s="21">
        <f>Tabelle1!E665-Hoja1!E666</f>
        <v>-31.23189901</v>
      </c>
      <c r="G666" s="16">
        <f t="shared" si="1"/>
        <v>31.23189901</v>
      </c>
      <c r="H666" s="16"/>
      <c r="I666" s="17">
        <v>0.0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ht="15.75" customHeight="1">
      <c r="A667" s="16"/>
      <c r="B667" s="16"/>
      <c r="C667" s="16"/>
      <c r="D667" s="16" t="s">
        <v>664</v>
      </c>
      <c r="E667" s="17">
        <v>80.0381315426515</v>
      </c>
      <c r="F667" s="21">
        <f>Tabelle1!E666-Hoja1!E667</f>
        <v>-80.13154907</v>
      </c>
      <c r="G667" s="16">
        <f t="shared" si="1"/>
        <v>80.13154907</v>
      </c>
      <c r="H667" s="16"/>
      <c r="I667" s="17">
        <v>0.0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ht="15.75" customHeight="1">
      <c r="A668" s="16"/>
      <c r="B668" s="16"/>
      <c r="C668" s="16"/>
      <c r="D668" s="16" t="s">
        <v>665</v>
      </c>
      <c r="E668" s="17">
        <v>108.03104798929</v>
      </c>
      <c r="F668" s="21">
        <f>Tabelle1!E667-Hoja1!E668</f>
        <v>-108.1244655</v>
      </c>
      <c r="G668" s="16">
        <f t="shared" si="1"/>
        <v>108.1244655</v>
      </c>
      <c r="H668" s="16"/>
      <c r="I668" s="17">
        <v>0.0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ht="15.75" customHeight="1">
      <c r="A669" s="16"/>
      <c r="B669" s="16"/>
      <c r="C669" s="16"/>
      <c r="D669" s="16" t="s">
        <v>666</v>
      </c>
      <c r="E669" s="17">
        <v>131.946297918289</v>
      </c>
      <c r="F669" s="21">
        <f>Tabelle1!E668-Hoja1!E669</f>
        <v>-132.0397154</v>
      </c>
      <c r="G669" s="16">
        <f t="shared" si="1"/>
        <v>132.0397154</v>
      </c>
      <c r="H669" s="16"/>
      <c r="I669" s="17">
        <v>0.0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ht="15.75" customHeight="1">
      <c r="A670" s="16"/>
      <c r="B670" s="16"/>
      <c r="C670" s="16"/>
      <c r="D670" s="16" t="s">
        <v>667</v>
      </c>
      <c r="E670" s="17">
        <v>130.601537477636</v>
      </c>
      <c r="F670" s="21">
        <f>Tabelle1!E669-Hoja1!E670</f>
        <v>-130.694955</v>
      </c>
      <c r="G670" s="16">
        <f t="shared" si="1"/>
        <v>130.694955</v>
      </c>
      <c r="H670" s="16"/>
      <c r="I670" s="17">
        <v>0.0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ht="15.75" customHeight="1">
      <c r="A671" s="16"/>
      <c r="B671" s="16"/>
      <c r="C671" s="16"/>
      <c r="D671" s="16" t="s">
        <v>668</v>
      </c>
      <c r="E671" s="17">
        <v>127.578570212328</v>
      </c>
      <c r="F671" s="21">
        <f>Tabelle1!E670-Hoja1!E671</f>
        <v>-127.6719877</v>
      </c>
      <c r="G671" s="16">
        <f t="shared" si="1"/>
        <v>127.6719877</v>
      </c>
      <c r="H671" s="16"/>
      <c r="I671" s="17">
        <v>6.1699999999837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ht="15.75" customHeight="1">
      <c r="A672" s="16"/>
      <c r="B672" s="16"/>
      <c r="C672" s="16"/>
      <c r="D672" s="16" t="s">
        <v>669</v>
      </c>
      <c r="E672" s="17">
        <v>106.402481312545</v>
      </c>
      <c r="F672" s="21">
        <f>Tabelle1!E671-Hoja1!E672</f>
        <v>-106.4958988</v>
      </c>
      <c r="G672" s="16">
        <f t="shared" si="1"/>
        <v>106.4958988</v>
      </c>
      <c r="H672" s="16"/>
      <c r="I672" s="17">
        <v>12.2100000000209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ht="15.75" customHeight="1">
      <c r="A673" s="16"/>
      <c r="B673" s="16"/>
      <c r="C673" s="16"/>
      <c r="D673" s="16" t="s">
        <v>670</v>
      </c>
      <c r="E673" s="17">
        <v>94.7305336212325</v>
      </c>
      <c r="F673" s="21">
        <f>Tabelle1!E672-Hoja1!E673</f>
        <v>-94.82395115</v>
      </c>
      <c r="G673" s="16">
        <f t="shared" si="1"/>
        <v>94.82395115</v>
      </c>
      <c r="H673" s="16"/>
      <c r="I673" s="17">
        <v>12.1699999999837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ht="15.75" customHeight="1">
      <c r="A674" s="16"/>
      <c r="B674" s="16"/>
      <c r="C674" s="16"/>
      <c r="D674" s="16" t="s">
        <v>671</v>
      </c>
      <c r="E674" s="17">
        <v>63.8324837475356</v>
      </c>
      <c r="F674" s="21">
        <f>Tabelle1!E673-Hoja1!E674</f>
        <v>-63.88794823</v>
      </c>
      <c r="G674" s="16">
        <f t="shared" si="1"/>
        <v>63.88794823</v>
      </c>
      <c r="H674" s="16"/>
      <c r="I674" s="17">
        <v>13.3499999999767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ht="15.75" customHeight="1">
      <c r="A675" s="16"/>
      <c r="B675" s="16"/>
      <c r="C675" s="16"/>
      <c r="D675" s="16" t="s">
        <v>672</v>
      </c>
      <c r="E675" s="17">
        <v>23.668640014551</v>
      </c>
      <c r="F675" s="16">
        <f>Tabelle1!E674-Hoja1!E675</f>
        <v>-23.49237957</v>
      </c>
      <c r="G675" s="16">
        <f t="shared" si="1"/>
        <v>23.49237957</v>
      </c>
      <c r="H675" s="16"/>
      <c r="I675" s="17">
        <v>20.1800000000512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ht="15.75" customHeight="1">
      <c r="A676" s="16"/>
      <c r="B676" s="16"/>
      <c r="C676" s="16"/>
      <c r="D676" s="16" t="s">
        <v>673</v>
      </c>
      <c r="E676" s="17">
        <v>5.42465078261669</v>
      </c>
      <c r="F676" s="16">
        <f>Tabelle1!E675-Hoja1!E676</f>
        <v>-5.280674573</v>
      </c>
      <c r="G676" s="16">
        <f t="shared" si="1"/>
        <v>5.280674573</v>
      </c>
      <c r="H676" s="16"/>
      <c r="I676" s="17">
        <v>6.39999999996507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ht="15.75" customHeight="1">
      <c r="A677" s="16"/>
      <c r="B677" s="16"/>
      <c r="C677" s="16"/>
      <c r="D677" s="16" t="s">
        <v>674</v>
      </c>
      <c r="E677" s="17">
        <v>0.0</v>
      </c>
      <c r="F677" s="16">
        <f>Tabelle1!E676-Hoja1!E677</f>
        <v>0.17884077</v>
      </c>
      <c r="G677" s="16">
        <f t="shared" si="1"/>
        <v>0.17884077</v>
      </c>
      <c r="H677" s="16"/>
      <c r="I677" s="17">
        <v>0.0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ht="15.75" customHeight="1">
      <c r="A678" s="16"/>
      <c r="B678" s="16"/>
      <c r="C678" s="16"/>
      <c r="D678" s="16" t="s">
        <v>675</v>
      </c>
      <c r="E678" s="17">
        <v>0.0</v>
      </c>
      <c r="F678" s="16">
        <f>Tabelle1!E677-Hoja1!E678</f>
        <v>0.18729824</v>
      </c>
      <c r="G678" s="16">
        <f t="shared" si="1"/>
        <v>0.18729824</v>
      </c>
      <c r="H678" s="16"/>
      <c r="I678" s="17">
        <v>0.0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ht="15.75" customHeight="1">
      <c r="A679" s="16"/>
      <c r="B679" s="16"/>
      <c r="C679" s="16"/>
      <c r="D679" s="16" t="s">
        <v>676</v>
      </c>
      <c r="E679" s="17">
        <v>0.0</v>
      </c>
      <c r="F679" s="16">
        <f>Tabelle1!E678-Hoja1!E679</f>
        <v>0.18729824</v>
      </c>
      <c r="G679" s="16">
        <f t="shared" si="1"/>
        <v>0.18729824</v>
      </c>
      <c r="H679" s="16"/>
      <c r="I679" s="17">
        <v>0.0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ht="15.75" customHeight="1">
      <c r="A680" s="16"/>
      <c r="B680" s="16"/>
      <c r="C680" s="16"/>
      <c r="D680" s="16" t="s">
        <v>677</v>
      </c>
      <c r="E680" s="17">
        <v>0.0</v>
      </c>
      <c r="F680" s="20">
        <f>Tabelle1!E679-Hoja1!E680</f>
        <v>0.10352066</v>
      </c>
      <c r="G680" s="16">
        <f t="shared" si="1"/>
        <v>0.10352066</v>
      </c>
      <c r="H680" s="16"/>
      <c r="I680" s="17">
        <v>0.0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ht="15.75" customHeight="1">
      <c r="A681" s="16"/>
      <c r="B681" s="16"/>
      <c r="C681" s="16"/>
      <c r="D681" s="16" t="s">
        <v>678</v>
      </c>
      <c r="E681" s="17">
        <v>0.0</v>
      </c>
      <c r="F681" s="20">
        <f>Tabelle1!E680-Hoja1!E681</f>
        <v>0.10352066</v>
      </c>
      <c r="G681" s="16">
        <f t="shared" si="1"/>
        <v>0.10352066</v>
      </c>
      <c r="H681" s="16"/>
      <c r="I681" s="17">
        <v>0.0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ht="15.75" customHeight="1">
      <c r="A682" s="16"/>
      <c r="B682" s="16"/>
      <c r="C682" s="16"/>
      <c r="D682" s="16" t="s">
        <v>679</v>
      </c>
      <c r="E682" s="17">
        <v>0.0</v>
      </c>
      <c r="F682" s="20">
        <f>Tabelle1!E681-Hoja1!E682</f>
        <v>0.10352066</v>
      </c>
      <c r="G682" s="16">
        <f t="shared" si="1"/>
        <v>0.10352066</v>
      </c>
      <c r="H682" s="16"/>
      <c r="I682" s="17">
        <v>0.0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ht="15.75" customHeight="1">
      <c r="A683" s="16"/>
      <c r="B683" s="16"/>
      <c r="C683" s="16"/>
      <c r="D683" s="16" t="s">
        <v>680</v>
      </c>
      <c r="E683" s="17">
        <v>0.0</v>
      </c>
      <c r="F683" s="20">
        <f>Tabelle1!E682-Hoja1!E683</f>
        <v>0.10352066</v>
      </c>
      <c r="G683" s="16">
        <f t="shared" si="1"/>
        <v>0.10352066</v>
      </c>
      <c r="H683" s="16"/>
      <c r="I683" s="17">
        <v>0.0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ht="15.75" customHeight="1">
      <c r="A684" s="16"/>
      <c r="B684" s="16"/>
      <c r="C684" s="16"/>
      <c r="D684" s="16" t="s">
        <v>681</v>
      </c>
      <c r="E684" s="17">
        <v>0.0</v>
      </c>
      <c r="F684" s="20">
        <f>Tabelle1!E683-Hoja1!E684</f>
        <v>0.10352066</v>
      </c>
      <c r="G684" s="16">
        <f t="shared" si="1"/>
        <v>0.10352066</v>
      </c>
      <c r="H684" s="16"/>
      <c r="I684" s="17">
        <v>0.0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ht="15.75" customHeight="1">
      <c r="A685" s="16"/>
      <c r="B685" s="16"/>
      <c r="C685" s="16"/>
      <c r="D685" s="16" t="s">
        <v>682</v>
      </c>
      <c r="E685" s="17">
        <v>0.0</v>
      </c>
      <c r="F685" s="20">
        <f>Tabelle1!E684-Hoja1!E685</f>
        <v>0.10352066</v>
      </c>
      <c r="G685" s="16">
        <f t="shared" si="1"/>
        <v>0.10352066</v>
      </c>
      <c r="H685" s="16"/>
      <c r="I685" s="17">
        <v>0.0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ht="15.75" customHeight="1">
      <c r="A686" s="16"/>
      <c r="B686" s="16"/>
      <c r="C686" s="16"/>
      <c r="D686" s="16" t="s">
        <v>683</v>
      </c>
      <c r="E686" s="17">
        <v>0.0</v>
      </c>
      <c r="F686" s="20">
        <f>Tabelle1!E685-Hoja1!E686</f>
        <v>0.10352066</v>
      </c>
      <c r="G686" s="16">
        <f t="shared" si="1"/>
        <v>0.10352066</v>
      </c>
      <c r="H686" s="16"/>
      <c r="I686" s="17">
        <v>0.0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ht="15.75" customHeight="1">
      <c r="A687" s="16"/>
      <c r="B687" s="16"/>
      <c r="C687" s="16"/>
      <c r="D687" s="16" t="s">
        <v>684</v>
      </c>
      <c r="E687" s="17">
        <v>0.0</v>
      </c>
      <c r="F687" s="20">
        <f>Tabelle1!E686-Hoja1!E687</f>
        <v>0.10352066</v>
      </c>
      <c r="G687" s="16">
        <f t="shared" si="1"/>
        <v>0.10352066</v>
      </c>
      <c r="H687" s="16"/>
      <c r="I687" s="17">
        <v>0.0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ht="15.75" customHeight="1">
      <c r="A688" s="16"/>
      <c r="B688" s="16"/>
      <c r="C688" s="16"/>
      <c r="D688" s="16" t="s">
        <v>685</v>
      </c>
      <c r="E688" s="17">
        <v>0.0</v>
      </c>
      <c r="F688" s="16">
        <f>Tabelle1!E687-Hoja1!E688</f>
        <v>0.10352066</v>
      </c>
      <c r="G688" s="16">
        <f t="shared" si="1"/>
        <v>0.10352066</v>
      </c>
      <c r="H688" s="16"/>
      <c r="I688" s="17">
        <v>0.10999999998603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ht="15.75" customHeight="1">
      <c r="A689" s="16"/>
      <c r="B689" s="16"/>
      <c r="C689" s="16"/>
      <c r="D689" s="16" t="s">
        <v>686</v>
      </c>
      <c r="E689" s="17">
        <v>3.16843513330449</v>
      </c>
      <c r="F689" s="21">
        <f>Tabelle1!E688-Hoja1!E689</f>
        <v>-2.975490033</v>
      </c>
      <c r="G689" s="16">
        <f t="shared" si="1"/>
        <v>2.975490033</v>
      </c>
      <c r="H689" s="16"/>
      <c r="I689" s="17">
        <v>3.46000000002095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ht="15.75" customHeight="1">
      <c r="A690" s="16"/>
      <c r="B690" s="16"/>
      <c r="C690" s="16"/>
      <c r="D690" s="16" t="s">
        <v>687</v>
      </c>
      <c r="E690" s="17">
        <v>21.1691634331731</v>
      </c>
      <c r="F690" s="21">
        <f>Tabelle1!E689-Hoja1!E690</f>
        <v>-21.3625946</v>
      </c>
      <c r="G690" s="16">
        <f t="shared" si="1"/>
        <v>21.3625946</v>
      </c>
      <c r="H690" s="16"/>
      <c r="I690" s="17">
        <v>15.609999999986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ht="15.75" customHeight="1">
      <c r="A691" s="16"/>
      <c r="B691" s="16"/>
      <c r="C691" s="16"/>
      <c r="D691" s="16" t="s">
        <v>688</v>
      </c>
      <c r="E691" s="17">
        <v>66.6776330228826</v>
      </c>
      <c r="F691" s="16">
        <f>Tabelle1!E690-Hoja1!E691</f>
        <v>-66.77105055</v>
      </c>
      <c r="G691" s="16">
        <f t="shared" si="1"/>
        <v>66.77105055</v>
      </c>
      <c r="H691" s="16"/>
      <c r="I691" s="17">
        <v>11.7300000000395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ht="15.75" customHeight="1">
      <c r="A692" s="16"/>
      <c r="B692" s="16"/>
      <c r="C692" s="16"/>
      <c r="D692" s="16" t="s">
        <v>689</v>
      </c>
      <c r="E692" s="17">
        <v>91.9220641340799</v>
      </c>
      <c r="F692" s="16">
        <f>Tabelle1!E691-Hoja1!E692</f>
        <v>-92.01548166</v>
      </c>
      <c r="G692" s="16">
        <f t="shared" si="1"/>
        <v>92.01548166</v>
      </c>
      <c r="H692" s="16"/>
      <c r="I692" s="17">
        <v>11.2699999999604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ht="15.75" customHeight="1">
      <c r="A693" s="16"/>
      <c r="B693" s="16"/>
      <c r="C693" s="16"/>
      <c r="D693" s="16" t="s">
        <v>690</v>
      </c>
      <c r="E693" s="17">
        <v>114.037859772546</v>
      </c>
      <c r="F693" s="21">
        <f>Tabelle1!E692-Hoja1!E693</f>
        <v>-114.1312773</v>
      </c>
      <c r="G693" s="16">
        <f t="shared" si="1"/>
        <v>114.1312773</v>
      </c>
      <c r="H693" s="16"/>
      <c r="I693" s="17">
        <v>9.48000000003958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ht="15.75" customHeight="1">
      <c r="A694" s="16"/>
      <c r="B694" s="16"/>
      <c r="C694" s="16"/>
      <c r="D694" s="16" t="s">
        <v>691</v>
      </c>
      <c r="E694" s="17">
        <v>118.767770000155</v>
      </c>
      <c r="F694" s="21">
        <f>Tabelle1!E693-Hoja1!E694</f>
        <v>-118.8611875</v>
      </c>
      <c r="G694" s="16">
        <f t="shared" si="1"/>
        <v>118.8611875</v>
      </c>
      <c r="H694" s="16"/>
      <c r="I694" s="17">
        <v>44.75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ht="15.75" customHeight="1">
      <c r="A695" s="16"/>
      <c r="B695" s="16"/>
      <c r="C695" s="16"/>
      <c r="D695" s="16" t="s">
        <v>692</v>
      </c>
      <c r="E695" s="17">
        <v>119.375357457084</v>
      </c>
      <c r="F695" s="21">
        <f>Tabelle1!E694-Hoja1!E695</f>
        <v>-119.468775</v>
      </c>
      <c r="G695" s="16">
        <f t="shared" si="1"/>
        <v>119.468775</v>
      </c>
      <c r="H695" s="16"/>
      <c r="I695" s="17">
        <v>119.789999999979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ht="15.75" customHeight="1">
      <c r="A696" s="16"/>
      <c r="B696" s="16"/>
      <c r="C696" s="16"/>
      <c r="D696" s="16" t="s">
        <v>693</v>
      </c>
      <c r="E696" s="17">
        <v>108.773947095532</v>
      </c>
      <c r="F696" s="21">
        <f>Tabelle1!E695-Hoja1!E696</f>
        <v>-108.8673646</v>
      </c>
      <c r="G696" s="16">
        <f t="shared" si="1"/>
        <v>108.8673646</v>
      </c>
      <c r="H696" s="16"/>
      <c r="I696" s="17">
        <v>114.570000000006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ht="15.75" customHeight="1">
      <c r="A697" s="16"/>
      <c r="B697" s="16"/>
      <c r="C697" s="16"/>
      <c r="D697" s="16" t="s">
        <v>694</v>
      </c>
      <c r="E697" s="17">
        <v>96.1582406086283</v>
      </c>
      <c r="F697" s="21">
        <f>Tabelle1!E696-Hoja1!E697</f>
        <v>-96.25165813</v>
      </c>
      <c r="G697" s="16">
        <f t="shared" si="1"/>
        <v>96.25165813</v>
      </c>
      <c r="H697" s="16"/>
      <c r="I697" s="17">
        <v>102.390000000013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ht="15.75" customHeight="1">
      <c r="A698" s="16"/>
      <c r="B698" s="16"/>
      <c r="C698" s="16"/>
      <c r="D698" s="16" t="s">
        <v>695</v>
      </c>
      <c r="E698" s="17">
        <v>63.696510318829</v>
      </c>
      <c r="F698" s="21">
        <f>Tabelle1!E697-Hoja1!E698</f>
        <v>-63.7519748</v>
      </c>
      <c r="G698" s="16">
        <f t="shared" si="1"/>
        <v>63.7519748</v>
      </c>
      <c r="H698" s="16"/>
      <c r="I698" s="17">
        <v>77.6699999999837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ht="15.75" customHeight="1">
      <c r="A699" s="16"/>
      <c r="B699" s="16"/>
      <c r="C699" s="16"/>
      <c r="D699" s="16" t="s">
        <v>696</v>
      </c>
      <c r="E699" s="17">
        <v>22.8658959438241</v>
      </c>
      <c r="F699" s="16">
        <f>Tabelle1!E698-Hoja1!E699</f>
        <v>-22.6896355</v>
      </c>
      <c r="G699" s="16">
        <f t="shared" si="1"/>
        <v>22.6896355</v>
      </c>
      <c r="H699" s="16"/>
      <c r="I699" s="17">
        <v>26.4099999999743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ht="15.75" customHeight="1">
      <c r="A700" s="16"/>
      <c r="B700" s="16"/>
      <c r="C700" s="16"/>
      <c r="D700" s="16" t="s">
        <v>697</v>
      </c>
      <c r="E700" s="17">
        <v>5.35593612416359</v>
      </c>
      <c r="F700" s="16">
        <f>Tabelle1!E699-Hoja1!E700</f>
        <v>-5.211959914</v>
      </c>
      <c r="G700" s="16">
        <f t="shared" si="1"/>
        <v>5.211959914</v>
      </c>
      <c r="H700" s="16"/>
      <c r="I700" s="17">
        <v>5.77000000001862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ht="15.75" customHeight="1">
      <c r="A701" s="16"/>
      <c r="B701" s="16"/>
      <c r="C701" s="16"/>
      <c r="D701" s="16" t="s">
        <v>698</v>
      </c>
      <c r="E701" s="17">
        <v>0.0</v>
      </c>
      <c r="F701" s="16">
        <f>Tabelle1!E700-Hoja1!E701</f>
        <v>0.17884077</v>
      </c>
      <c r="G701" s="16">
        <f t="shared" si="1"/>
        <v>0.17884077</v>
      </c>
      <c r="H701" s="16"/>
      <c r="I701" s="17">
        <v>0.0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ht="15.75" customHeight="1">
      <c r="A702" s="16"/>
      <c r="B702" s="16"/>
      <c r="C702" s="16"/>
      <c r="D702" s="16" t="s">
        <v>699</v>
      </c>
      <c r="E702" s="17">
        <v>0.0</v>
      </c>
      <c r="F702" s="16">
        <f>Tabelle1!E701-Hoja1!E702</f>
        <v>0.18729824</v>
      </c>
      <c r="G702" s="16">
        <f t="shared" si="1"/>
        <v>0.18729824</v>
      </c>
      <c r="H702" s="16"/>
      <c r="I702" s="17">
        <v>0.0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ht="15.75" customHeight="1">
      <c r="A703" s="16"/>
      <c r="B703" s="16"/>
      <c r="C703" s="16"/>
      <c r="D703" s="16" t="s">
        <v>700</v>
      </c>
      <c r="E703" s="17">
        <v>0.0</v>
      </c>
      <c r="F703" s="16">
        <f>Tabelle1!E702-Hoja1!E703</f>
        <v>0.18729824</v>
      </c>
      <c r="G703" s="16">
        <f t="shared" si="1"/>
        <v>0.18729824</v>
      </c>
      <c r="H703" s="16"/>
      <c r="I703" s="17">
        <v>0.0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ht="15.75" customHeight="1">
      <c r="A704" s="16"/>
      <c r="B704" s="16"/>
      <c r="C704" s="16"/>
      <c r="D704" s="16" t="s">
        <v>701</v>
      </c>
      <c r="E704" s="17">
        <v>0.0</v>
      </c>
      <c r="F704" s="16">
        <f>Tabelle1!E703-Hoja1!E704</f>
        <v>0.09715321</v>
      </c>
      <c r="G704" s="16">
        <f t="shared" si="1"/>
        <v>0.09715321</v>
      </c>
      <c r="H704" s="16"/>
      <c r="I704" s="17">
        <v>0.0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ht="15.75" customHeight="1">
      <c r="A705" s="16"/>
      <c r="B705" s="16"/>
      <c r="C705" s="16"/>
      <c r="D705" s="16" t="s">
        <v>702</v>
      </c>
      <c r="E705" s="17">
        <v>0.0</v>
      </c>
      <c r="F705" s="20">
        <f>Tabelle1!E704-Hoja1!E705</f>
        <v>0.09715321</v>
      </c>
      <c r="G705" s="16">
        <f t="shared" si="1"/>
        <v>0.09715321</v>
      </c>
      <c r="H705" s="16"/>
      <c r="I705" s="17">
        <v>0.0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ht="15.75" customHeight="1">
      <c r="A706" s="16"/>
      <c r="B706" s="16"/>
      <c r="C706" s="16"/>
      <c r="D706" s="16" t="s">
        <v>703</v>
      </c>
      <c r="E706" s="17">
        <v>0.0</v>
      </c>
      <c r="F706" s="20">
        <f>Tabelle1!E705-Hoja1!E706</f>
        <v>0.09715321</v>
      </c>
      <c r="G706" s="16">
        <f t="shared" si="1"/>
        <v>0.09715321</v>
      </c>
      <c r="H706" s="16"/>
      <c r="I706" s="17">
        <v>0.0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ht="15.75" customHeight="1">
      <c r="A707" s="16"/>
      <c r="B707" s="16"/>
      <c r="C707" s="16"/>
      <c r="D707" s="16" t="s">
        <v>704</v>
      </c>
      <c r="E707" s="17">
        <v>0.0</v>
      </c>
      <c r="F707" s="20">
        <f>Tabelle1!E706-Hoja1!E707</f>
        <v>0.09715321</v>
      </c>
      <c r="G707" s="16">
        <f t="shared" si="1"/>
        <v>0.09715321</v>
      </c>
      <c r="H707" s="16"/>
      <c r="I707" s="17">
        <v>0.0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ht="15.75" customHeight="1">
      <c r="A708" s="16"/>
      <c r="B708" s="16"/>
      <c r="C708" s="16"/>
      <c r="D708" s="16" t="s">
        <v>705</v>
      </c>
      <c r="E708" s="17">
        <v>0.0</v>
      </c>
      <c r="F708" s="20">
        <f>Tabelle1!E707-Hoja1!E708</f>
        <v>0.09715321</v>
      </c>
      <c r="G708" s="16">
        <f t="shared" si="1"/>
        <v>0.09715321</v>
      </c>
      <c r="H708" s="16"/>
      <c r="I708" s="17">
        <v>0.0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ht="15.75" customHeight="1">
      <c r="A709" s="16"/>
      <c r="B709" s="16"/>
      <c r="C709" s="16"/>
      <c r="D709" s="16" t="s">
        <v>706</v>
      </c>
      <c r="E709" s="17">
        <v>0.0</v>
      </c>
      <c r="F709" s="20">
        <f>Tabelle1!E708-Hoja1!E709</f>
        <v>0.09715321</v>
      </c>
      <c r="G709" s="16">
        <f t="shared" si="1"/>
        <v>0.09715321</v>
      </c>
      <c r="H709" s="16"/>
      <c r="I709" s="17">
        <v>0.0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ht="15.75" customHeight="1">
      <c r="A710" s="16"/>
      <c r="B710" s="16"/>
      <c r="C710" s="16"/>
      <c r="D710" s="16" t="s">
        <v>707</v>
      </c>
      <c r="E710" s="17">
        <v>0.0</v>
      </c>
      <c r="F710" s="20">
        <f>Tabelle1!E709-Hoja1!E710</f>
        <v>0.09715321</v>
      </c>
      <c r="G710" s="16">
        <f t="shared" si="1"/>
        <v>0.09715321</v>
      </c>
      <c r="H710" s="16"/>
      <c r="I710" s="17">
        <v>0.0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ht="15.75" customHeight="1">
      <c r="A711" s="16"/>
      <c r="B711" s="16"/>
      <c r="C711" s="16"/>
      <c r="D711" s="16" t="s">
        <v>708</v>
      </c>
      <c r="E711" s="17">
        <v>0.0</v>
      </c>
      <c r="F711" s="20">
        <f>Tabelle1!E710-Hoja1!E711</f>
        <v>0.09715321</v>
      </c>
      <c r="G711" s="16">
        <f t="shared" si="1"/>
        <v>0.09715321</v>
      </c>
      <c r="H711" s="16"/>
      <c r="I711" s="17">
        <v>0.0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ht="15.75" customHeight="1">
      <c r="A712" s="16"/>
      <c r="B712" s="16"/>
      <c r="C712" s="16"/>
      <c r="D712" s="16" t="s">
        <v>709</v>
      </c>
      <c r="E712" s="17">
        <v>0.0</v>
      </c>
      <c r="F712" s="21">
        <f>Tabelle1!E711-Hoja1!E712</f>
        <v>0.09715321</v>
      </c>
      <c r="G712" s="16">
        <f t="shared" si="1"/>
        <v>0.09715321</v>
      </c>
      <c r="H712" s="16"/>
      <c r="I712" s="17">
        <v>0.0700000000069849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ht="15.75" customHeight="1">
      <c r="A713" s="16"/>
      <c r="B713" s="16"/>
      <c r="C713" s="16"/>
      <c r="D713" s="16" t="s">
        <v>710</v>
      </c>
      <c r="E713" s="17">
        <v>3.20267345100361</v>
      </c>
      <c r="F713" s="21">
        <f>Tabelle1!E712-Hoja1!E713</f>
        <v>-3.016095821</v>
      </c>
      <c r="G713" s="16">
        <f t="shared" si="1"/>
        <v>3.016095821</v>
      </c>
      <c r="H713" s="16"/>
      <c r="I713" s="17">
        <v>3.35999999998603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ht="15.75" customHeight="1">
      <c r="A714" s="16"/>
      <c r="B714" s="16"/>
      <c r="C714" s="16"/>
      <c r="D714" s="16" t="s">
        <v>711</v>
      </c>
      <c r="E714" s="17">
        <v>27.8462543826019</v>
      </c>
      <c r="F714" s="21">
        <f>Tabelle1!E713-Hoja1!E714</f>
        <v>-28.18559456</v>
      </c>
      <c r="G714" s="16">
        <f t="shared" si="1"/>
        <v>28.18559456</v>
      </c>
      <c r="H714" s="16"/>
      <c r="I714" s="17">
        <v>34.7100000000209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ht="15.75" customHeight="1">
      <c r="A715" s="16"/>
      <c r="B715" s="16"/>
      <c r="C715" s="16"/>
      <c r="D715" s="16" t="s">
        <v>712</v>
      </c>
      <c r="E715" s="17">
        <v>71.2989134128487</v>
      </c>
      <c r="F715" s="21">
        <f>Tabelle1!E714-Hoja1!E715</f>
        <v>-72.03564601</v>
      </c>
      <c r="G715" s="16">
        <f t="shared" si="1"/>
        <v>72.03564601</v>
      </c>
      <c r="H715" s="16"/>
      <c r="I715" s="17">
        <v>83.859999999986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ht="15.75" customHeight="1">
      <c r="A716" s="16"/>
      <c r="B716" s="16"/>
      <c r="C716" s="16"/>
      <c r="D716" s="16" t="s">
        <v>713</v>
      </c>
      <c r="E716" s="17">
        <v>100.848456120021</v>
      </c>
      <c r="F716" s="21">
        <f>Tabelle1!E715-Hoja1!E716</f>
        <v>-101.5851887</v>
      </c>
      <c r="G716" s="16">
        <f t="shared" si="1"/>
        <v>101.5851887</v>
      </c>
      <c r="H716" s="16"/>
      <c r="I716" s="17">
        <v>117.23999999999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ht="15.75" customHeight="1">
      <c r="A717" s="16"/>
      <c r="B717" s="16"/>
      <c r="C717" s="16"/>
      <c r="D717" s="16" t="s">
        <v>714</v>
      </c>
      <c r="E717" s="17">
        <v>122.937169397801</v>
      </c>
      <c r="F717" s="21">
        <f>Tabelle1!E716-Hoja1!E717</f>
        <v>-123.673902</v>
      </c>
      <c r="G717" s="16">
        <f t="shared" si="1"/>
        <v>123.673902</v>
      </c>
      <c r="H717" s="16"/>
      <c r="I717" s="17">
        <v>128.950000000011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ht="15.75" customHeight="1">
      <c r="A718" s="16"/>
      <c r="B718" s="16"/>
      <c r="C718" s="16"/>
      <c r="D718" s="16" t="s">
        <v>715</v>
      </c>
      <c r="E718" s="17">
        <v>125.100278038743</v>
      </c>
      <c r="F718" s="21">
        <f>Tabelle1!E717-Hoja1!E718</f>
        <v>-125.8370106</v>
      </c>
      <c r="G718" s="16">
        <f t="shared" si="1"/>
        <v>125.8370106</v>
      </c>
      <c r="H718" s="16"/>
      <c r="I718" s="17">
        <v>131.219999999972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ht="15.75" customHeight="1">
      <c r="A719" s="16"/>
      <c r="B719" s="16"/>
      <c r="C719" s="16"/>
      <c r="D719" s="16" t="s">
        <v>716</v>
      </c>
      <c r="E719" s="17">
        <v>123.505243786447</v>
      </c>
      <c r="F719" s="21">
        <f>Tabelle1!E718-Hoja1!E719</f>
        <v>-124.2419764</v>
      </c>
      <c r="G719" s="16">
        <f t="shared" si="1"/>
        <v>124.2419764</v>
      </c>
      <c r="H719" s="16"/>
      <c r="I719" s="17">
        <v>128.270000000018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ht="15.75" customHeight="1">
      <c r="A720" s="16"/>
      <c r="B720" s="16"/>
      <c r="C720" s="16"/>
      <c r="D720" s="16" t="s">
        <v>717</v>
      </c>
      <c r="E720" s="17">
        <v>112.461758879577</v>
      </c>
      <c r="F720" s="21">
        <f>Tabelle1!E719-Hoja1!E720</f>
        <v>-113.1984915</v>
      </c>
      <c r="G720" s="16">
        <f t="shared" si="1"/>
        <v>113.1984915</v>
      </c>
      <c r="H720" s="16"/>
      <c r="I720" s="17">
        <v>120.520000000018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ht="15.75" customHeight="1">
      <c r="A721" s="16"/>
      <c r="B721" s="16"/>
      <c r="C721" s="16"/>
      <c r="D721" s="16" t="s">
        <v>718</v>
      </c>
      <c r="E721" s="17">
        <v>102.112493205162</v>
      </c>
      <c r="F721" s="21">
        <f>Tabelle1!E720-Hoja1!E721</f>
        <v>-102.8492258</v>
      </c>
      <c r="G721" s="16">
        <f t="shared" si="1"/>
        <v>102.8492258</v>
      </c>
      <c r="H721" s="16"/>
      <c r="I721" s="17">
        <v>106.859999999986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ht="15.75" customHeight="1">
      <c r="A722" s="16"/>
      <c r="B722" s="16"/>
      <c r="C722" s="16"/>
      <c r="D722" s="16" t="s">
        <v>719</v>
      </c>
      <c r="E722" s="17">
        <v>68.0290252795513</v>
      </c>
      <c r="F722" s="21">
        <f>Tabelle1!E721-Hoja1!E722</f>
        <v>-68.67533084</v>
      </c>
      <c r="G722" s="16">
        <f t="shared" si="1"/>
        <v>68.67533084</v>
      </c>
      <c r="H722" s="16"/>
      <c r="I722" s="17">
        <v>81.2299999999813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ht="15.75" customHeight="1">
      <c r="A723" s="16"/>
      <c r="B723" s="16"/>
      <c r="C723" s="16"/>
      <c r="D723" s="16" t="s">
        <v>720</v>
      </c>
      <c r="E723" s="17">
        <v>27.925281125526</v>
      </c>
      <c r="F723" s="21">
        <f>Tabelle1!E722-Hoja1!E723</f>
        <v>-28.16910065</v>
      </c>
      <c r="G723" s="16">
        <f t="shared" si="1"/>
        <v>28.16910065</v>
      </c>
      <c r="H723" s="16"/>
      <c r="I723" s="17">
        <v>36.7399999999906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ht="15.75" customHeight="1">
      <c r="A724" s="16"/>
      <c r="B724" s="16"/>
      <c r="C724" s="16"/>
      <c r="D724" s="16" t="s">
        <v>721</v>
      </c>
      <c r="E724" s="17">
        <v>5.47289694436716</v>
      </c>
      <c r="F724" s="21">
        <f>Tabelle1!E723-Hoja1!E724</f>
        <v>-5.479549978</v>
      </c>
      <c r="G724" s="16">
        <f t="shared" si="1"/>
        <v>5.479549978</v>
      </c>
      <c r="H724" s="16"/>
      <c r="I724" s="17">
        <v>4.98000000003958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ht="15.75" customHeight="1">
      <c r="A725" s="16"/>
      <c r="B725" s="16"/>
      <c r="C725" s="16"/>
      <c r="D725" s="16" t="s">
        <v>722</v>
      </c>
      <c r="E725" s="17">
        <v>0.0</v>
      </c>
      <c r="F725" s="21">
        <f>Tabelle1!E724-Hoja1!E725</f>
        <v>0.15968363</v>
      </c>
      <c r="G725" s="16">
        <f t="shared" si="1"/>
        <v>0.15968363</v>
      </c>
      <c r="H725" s="16"/>
      <c r="I725" s="17">
        <v>0.0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ht="15.75" customHeight="1">
      <c r="A726" s="16"/>
      <c r="B726" s="16"/>
      <c r="C726" s="16"/>
      <c r="D726" s="16" t="s">
        <v>723</v>
      </c>
      <c r="E726" s="17">
        <v>0.0</v>
      </c>
      <c r="F726" s="21">
        <f>Tabelle1!E725-Hoja1!E726</f>
        <v>0.1681411</v>
      </c>
      <c r="G726" s="16">
        <f t="shared" si="1"/>
        <v>0.1681411</v>
      </c>
      <c r="H726" s="16"/>
      <c r="I726" s="17">
        <v>0.0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ht="15.75" customHeight="1">
      <c r="A727" s="16"/>
      <c r="B727" s="16"/>
      <c r="C727" s="16"/>
      <c r="D727" s="16" t="s">
        <v>724</v>
      </c>
      <c r="E727" s="17">
        <v>0.0</v>
      </c>
      <c r="F727" s="21">
        <f>Tabelle1!E726-Hoja1!E727</f>
        <v>0.1681411</v>
      </c>
      <c r="G727" s="16">
        <f t="shared" si="1"/>
        <v>0.1681411</v>
      </c>
      <c r="H727" s="16"/>
      <c r="I727" s="17">
        <v>0.0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ht="15.75" customHeight="1">
      <c r="A728" s="16"/>
      <c r="B728" s="16"/>
      <c r="C728" s="16"/>
      <c r="D728" s="16"/>
      <c r="E728" s="17"/>
      <c r="F728" s="16"/>
      <c r="G728" s="16"/>
      <c r="H728" s="16"/>
      <c r="I728" s="17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ht="15.75" hidden="1" customHeight="1">
      <c r="A729" s="16"/>
      <c r="B729" s="16"/>
      <c r="C729" s="16"/>
      <c r="D729" s="16"/>
      <c r="E729" s="17"/>
      <c r="F729" s="16"/>
      <c r="G729" s="16"/>
      <c r="H729" s="16"/>
      <c r="I729" s="17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ht="15.75" hidden="1" customHeight="1">
      <c r="A730" s="16"/>
      <c r="B730" s="16"/>
      <c r="C730" s="16"/>
      <c r="D730" s="16"/>
      <c r="E730" s="17"/>
      <c r="F730" s="16"/>
      <c r="G730" s="16"/>
      <c r="H730" s="16"/>
      <c r="I730" s="17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ht="15.75" hidden="1" customHeight="1">
      <c r="A731" s="16"/>
      <c r="B731" s="16"/>
      <c r="C731" s="16"/>
      <c r="D731" s="16"/>
      <c r="E731" s="17"/>
      <c r="F731" s="16"/>
      <c r="G731" s="16"/>
      <c r="H731" s="16"/>
      <c r="I731" s="17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ht="15.75" hidden="1" customHeight="1">
      <c r="A732" s="16"/>
      <c r="B732" s="16"/>
      <c r="C732" s="16"/>
      <c r="D732" s="16"/>
      <c r="E732" s="17"/>
      <c r="F732" s="16"/>
      <c r="G732" s="16"/>
      <c r="H732" s="16"/>
      <c r="I732" s="17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ht="15.75" hidden="1" customHeight="1">
      <c r="A733" s="16"/>
      <c r="B733" s="16"/>
      <c r="C733" s="16"/>
      <c r="D733" s="16"/>
      <c r="E733" s="17"/>
      <c r="F733" s="16"/>
      <c r="G733" s="16"/>
      <c r="H733" s="16"/>
      <c r="I733" s="17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ht="15.75" hidden="1" customHeight="1">
      <c r="A734" s="16"/>
      <c r="B734" s="16"/>
      <c r="C734" s="16"/>
      <c r="D734" s="16"/>
      <c r="E734" s="17"/>
      <c r="F734" s="16"/>
      <c r="G734" s="16"/>
      <c r="H734" s="16"/>
      <c r="I734" s="17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ht="15.75" hidden="1" customHeight="1">
      <c r="A735" s="16"/>
      <c r="B735" s="16"/>
      <c r="C735" s="16"/>
      <c r="D735" s="16"/>
      <c r="E735" s="17"/>
      <c r="F735" s="16"/>
      <c r="G735" s="16"/>
      <c r="H735" s="16"/>
      <c r="I735" s="17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ht="15.75" hidden="1" customHeight="1">
      <c r="A736" s="16"/>
      <c r="B736" s="16"/>
      <c r="C736" s="16"/>
      <c r="D736" s="16"/>
      <c r="E736" s="17"/>
      <c r="F736" s="16"/>
      <c r="G736" s="16"/>
      <c r="H736" s="16"/>
      <c r="I736" s="17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ht="15.75" hidden="1" customHeight="1">
      <c r="A737" s="16"/>
      <c r="B737" s="16"/>
      <c r="C737" s="16"/>
      <c r="D737" s="16"/>
      <c r="E737" s="17"/>
      <c r="F737" s="16"/>
      <c r="G737" s="16"/>
      <c r="H737" s="16"/>
      <c r="I737" s="17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ht="15.75" hidden="1" customHeight="1">
      <c r="A738" s="16"/>
      <c r="B738" s="16"/>
      <c r="C738" s="16"/>
      <c r="D738" s="16"/>
      <c r="E738" s="17"/>
      <c r="F738" s="16"/>
      <c r="G738" s="16"/>
      <c r="H738" s="16"/>
      <c r="I738" s="17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ht="15.75" hidden="1" customHeight="1">
      <c r="A739" s="16"/>
      <c r="B739" s="16"/>
      <c r="C739" s="16"/>
      <c r="D739" s="16"/>
      <c r="E739" s="17"/>
      <c r="F739" s="16"/>
      <c r="G739" s="16"/>
      <c r="H739" s="16"/>
      <c r="I739" s="17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ht="15.75" hidden="1" customHeight="1">
      <c r="A740" s="16"/>
      <c r="B740" s="16"/>
      <c r="C740" s="16"/>
      <c r="D740" s="16"/>
      <c r="E740" s="17"/>
      <c r="F740" s="16"/>
      <c r="G740" s="16"/>
      <c r="H740" s="16"/>
      <c r="I740" s="17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ht="15.75" hidden="1" customHeight="1">
      <c r="A741" s="16"/>
      <c r="B741" s="16"/>
      <c r="C741" s="16"/>
      <c r="D741" s="16"/>
      <c r="E741" s="17"/>
      <c r="F741" s="16"/>
      <c r="G741" s="16"/>
      <c r="H741" s="16"/>
      <c r="I741" s="17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ht="15.75" hidden="1" customHeight="1">
      <c r="A742" s="16"/>
      <c r="B742" s="16"/>
      <c r="C742" s="16"/>
      <c r="D742" s="16"/>
      <c r="E742" s="17"/>
      <c r="F742" s="16"/>
      <c r="G742" s="16"/>
      <c r="H742" s="16"/>
      <c r="I742" s="17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ht="15.75" hidden="1" customHeight="1">
      <c r="A743" s="16"/>
      <c r="B743" s="16"/>
      <c r="C743" s="16"/>
      <c r="D743" s="16"/>
      <c r="E743" s="17"/>
      <c r="F743" s="16"/>
      <c r="G743" s="16"/>
      <c r="H743" s="16"/>
      <c r="I743" s="17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ht="15.75" hidden="1" customHeight="1">
      <c r="A744" s="16"/>
      <c r="B744" s="16"/>
      <c r="C744" s="16"/>
      <c r="D744" s="16"/>
      <c r="E744" s="17"/>
      <c r="F744" s="16"/>
      <c r="G744" s="16"/>
      <c r="H744" s="16"/>
      <c r="I744" s="17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ht="15.75" hidden="1" customHeight="1">
      <c r="A745" s="16"/>
      <c r="B745" s="16"/>
      <c r="C745" s="16"/>
      <c r="D745" s="16"/>
      <c r="E745" s="17"/>
      <c r="F745" s="16"/>
      <c r="G745" s="16"/>
      <c r="H745" s="16"/>
      <c r="I745" s="17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ht="15.75" hidden="1" customHeight="1">
      <c r="A746" s="16"/>
      <c r="B746" s="16"/>
      <c r="C746" s="16"/>
      <c r="D746" s="16"/>
      <c r="E746" s="17"/>
      <c r="F746" s="16"/>
      <c r="G746" s="16"/>
      <c r="H746" s="16"/>
      <c r="I746" s="17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ht="15.75" hidden="1" customHeight="1">
      <c r="A747" s="16"/>
      <c r="B747" s="16"/>
      <c r="C747" s="16"/>
      <c r="D747" s="16"/>
      <c r="E747" s="17"/>
      <c r="F747" s="16"/>
      <c r="G747" s="16"/>
      <c r="H747" s="16"/>
      <c r="I747" s="17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ht="15.75" hidden="1" customHeight="1">
      <c r="A748" s="16"/>
      <c r="B748" s="16"/>
      <c r="C748" s="16"/>
      <c r="D748" s="16"/>
      <c r="E748" s="17"/>
      <c r="F748" s="16"/>
      <c r="G748" s="16"/>
      <c r="H748" s="16"/>
      <c r="I748" s="17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ht="15.75" hidden="1" customHeight="1">
      <c r="A749" s="16"/>
      <c r="B749" s="16"/>
      <c r="C749" s="16"/>
      <c r="D749" s="16"/>
      <c r="E749" s="17"/>
      <c r="F749" s="16"/>
      <c r="G749" s="16"/>
      <c r="H749" s="16"/>
      <c r="I749" s="17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ht="15.75" hidden="1" customHeight="1">
      <c r="A750" s="16"/>
      <c r="B750" s="16"/>
      <c r="C750" s="16"/>
      <c r="D750" s="16"/>
      <c r="E750" s="17"/>
      <c r="F750" s="16"/>
      <c r="G750" s="16"/>
      <c r="H750" s="16"/>
      <c r="I750" s="17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ht="15.75" hidden="1" customHeight="1">
      <c r="A751" s="16"/>
      <c r="B751" s="16"/>
      <c r="C751" s="16"/>
      <c r="D751" s="16"/>
      <c r="E751" s="17"/>
      <c r="F751" s="16"/>
      <c r="G751" s="16"/>
      <c r="H751" s="16"/>
      <c r="I751" s="17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ht="15.75" hidden="1" customHeight="1">
      <c r="A752" s="16"/>
      <c r="B752" s="16"/>
      <c r="C752" s="16"/>
      <c r="D752" s="16"/>
      <c r="E752" s="17"/>
      <c r="F752" s="16"/>
      <c r="G752" s="16"/>
      <c r="H752" s="16"/>
      <c r="I752" s="17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ht="15.75" hidden="1" customHeight="1">
      <c r="A753" s="16"/>
      <c r="B753" s="16"/>
      <c r="C753" s="16"/>
      <c r="D753" s="16"/>
      <c r="E753" s="17"/>
      <c r="F753" s="16"/>
      <c r="G753" s="16"/>
      <c r="H753" s="16"/>
      <c r="I753" s="17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ht="15.75" hidden="1" customHeight="1">
      <c r="A754" s="16"/>
      <c r="B754" s="16"/>
      <c r="C754" s="16"/>
      <c r="D754" s="16"/>
      <c r="E754" s="17"/>
      <c r="F754" s="16"/>
      <c r="G754" s="16"/>
      <c r="H754" s="16"/>
      <c r="I754" s="17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ht="15.75" hidden="1" customHeight="1">
      <c r="A755" s="16"/>
      <c r="B755" s="16"/>
      <c r="C755" s="16"/>
      <c r="D755" s="16"/>
      <c r="E755" s="17"/>
      <c r="F755" s="16"/>
      <c r="G755" s="16"/>
      <c r="H755" s="16"/>
      <c r="I755" s="17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ht="15.75" hidden="1" customHeight="1">
      <c r="A756" s="16"/>
      <c r="B756" s="16"/>
      <c r="C756" s="16"/>
      <c r="D756" s="16"/>
      <c r="E756" s="17"/>
      <c r="F756" s="16"/>
      <c r="G756" s="16"/>
      <c r="H756" s="16"/>
      <c r="I756" s="17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ht="15.75" hidden="1" customHeight="1">
      <c r="A757" s="16"/>
      <c r="B757" s="16"/>
      <c r="C757" s="16"/>
      <c r="D757" s="16"/>
      <c r="E757" s="17"/>
      <c r="F757" s="16"/>
      <c r="G757" s="16"/>
      <c r="H757" s="16"/>
      <c r="I757" s="17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ht="15.75" hidden="1" customHeight="1">
      <c r="A758" s="16"/>
      <c r="B758" s="16"/>
      <c r="C758" s="16"/>
      <c r="D758" s="16"/>
      <c r="E758" s="17"/>
      <c r="F758" s="16"/>
      <c r="G758" s="16"/>
      <c r="H758" s="16"/>
      <c r="I758" s="17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ht="15.75" hidden="1" customHeight="1">
      <c r="A759" s="16"/>
      <c r="B759" s="16"/>
      <c r="C759" s="16"/>
      <c r="D759" s="16"/>
      <c r="E759" s="17"/>
      <c r="F759" s="16"/>
      <c r="G759" s="16"/>
      <c r="H759" s="16"/>
      <c r="I759" s="17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ht="15.75" hidden="1" customHeight="1">
      <c r="A760" s="16"/>
      <c r="B760" s="16"/>
      <c r="C760" s="16"/>
      <c r="D760" s="16"/>
      <c r="E760" s="17"/>
      <c r="F760" s="16"/>
      <c r="G760" s="16"/>
      <c r="H760" s="16"/>
      <c r="I760" s="17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ht="15.75" hidden="1" customHeight="1">
      <c r="A761" s="16"/>
      <c r="B761" s="16"/>
      <c r="C761" s="16"/>
      <c r="D761" s="16"/>
      <c r="E761" s="17"/>
      <c r="F761" s="16"/>
      <c r="G761" s="16"/>
      <c r="H761" s="16"/>
      <c r="I761" s="17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ht="15.75" hidden="1" customHeight="1">
      <c r="A762" s="16"/>
      <c r="B762" s="16"/>
      <c r="C762" s="16"/>
      <c r="D762" s="16"/>
      <c r="E762" s="17"/>
      <c r="F762" s="16"/>
      <c r="G762" s="16"/>
      <c r="H762" s="16"/>
      <c r="I762" s="17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ht="15.75" hidden="1" customHeight="1">
      <c r="A763" s="16"/>
      <c r="B763" s="16"/>
      <c r="C763" s="16"/>
      <c r="D763" s="16"/>
      <c r="E763" s="17"/>
      <c r="F763" s="16"/>
      <c r="G763" s="16"/>
      <c r="H763" s="16"/>
      <c r="I763" s="17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ht="15.75" hidden="1" customHeight="1">
      <c r="A764" s="16"/>
      <c r="B764" s="16"/>
      <c r="C764" s="16"/>
      <c r="D764" s="16"/>
      <c r="E764" s="17"/>
      <c r="F764" s="16"/>
      <c r="G764" s="16"/>
      <c r="H764" s="16"/>
      <c r="I764" s="17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ht="15.75" hidden="1" customHeight="1">
      <c r="A765" s="16"/>
      <c r="B765" s="16"/>
      <c r="C765" s="16"/>
      <c r="D765" s="16"/>
      <c r="E765" s="17"/>
      <c r="F765" s="16"/>
      <c r="G765" s="16"/>
      <c r="H765" s="16"/>
      <c r="I765" s="17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ht="15.75" hidden="1" customHeight="1">
      <c r="A766" s="16"/>
      <c r="B766" s="16"/>
      <c r="C766" s="16"/>
      <c r="D766" s="16"/>
      <c r="E766" s="17"/>
      <c r="F766" s="16"/>
      <c r="G766" s="16"/>
      <c r="H766" s="16"/>
      <c r="I766" s="17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ht="15.75" hidden="1" customHeight="1">
      <c r="A767" s="16"/>
      <c r="B767" s="16"/>
      <c r="C767" s="16"/>
      <c r="D767" s="16"/>
      <c r="E767" s="17"/>
      <c r="F767" s="16"/>
      <c r="G767" s="16"/>
      <c r="H767" s="16"/>
      <c r="I767" s="17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ht="15.75" hidden="1" customHeight="1">
      <c r="A768" s="16"/>
      <c r="B768" s="16"/>
      <c r="C768" s="16"/>
      <c r="D768" s="16"/>
      <c r="E768" s="17"/>
      <c r="F768" s="16"/>
      <c r="G768" s="16"/>
      <c r="H768" s="16"/>
      <c r="I768" s="17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ht="15.75" hidden="1" customHeight="1">
      <c r="A769" s="16"/>
      <c r="B769" s="16"/>
      <c r="C769" s="16"/>
      <c r="D769" s="16"/>
      <c r="E769" s="17"/>
      <c r="F769" s="16"/>
      <c r="G769" s="16"/>
      <c r="H769" s="16"/>
      <c r="I769" s="17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ht="15.75" hidden="1" customHeight="1">
      <c r="A770" s="16"/>
      <c r="B770" s="16"/>
      <c r="C770" s="16"/>
      <c r="D770" s="16"/>
      <c r="E770" s="17"/>
      <c r="F770" s="16"/>
      <c r="G770" s="16"/>
      <c r="H770" s="16"/>
      <c r="I770" s="17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ht="15.75" hidden="1" customHeight="1">
      <c r="A771" s="16"/>
      <c r="B771" s="16"/>
      <c r="C771" s="16"/>
      <c r="D771" s="16"/>
      <c r="E771" s="17"/>
      <c r="F771" s="16"/>
      <c r="G771" s="16"/>
      <c r="H771" s="16"/>
      <c r="I771" s="17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ht="15.75" hidden="1" customHeight="1">
      <c r="A772" s="16"/>
      <c r="B772" s="16"/>
      <c r="C772" s="16"/>
      <c r="D772" s="16"/>
      <c r="E772" s="17"/>
      <c r="F772" s="16"/>
      <c r="G772" s="16"/>
      <c r="H772" s="16"/>
      <c r="I772" s="17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ht="15.75" hidden="1" customHeight="1">
      <c r="A773" s="16"/>
      <c r="B773" s="16"/>
      <c r="C773" s="16"/>
      <c r="D773" s="16"/>
      <c r="E773" s="17"/>
      <c r="F773" s="16"/>
      <c r="G773" s="16"/>
      <c r="H773" s="16"/>
      <c r="I773" s="17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ht="15.75" hidden="1" customHeight="1">
      <c r="A774" s="16"/>
      <c r="B774" s="16"/>
      <c r="C774" s="16"/>
      <c r="D774" s="16"/>
      <c r="E774" s="17"/>
      <c r="F774" s="16"/>
      <c r="G774" s="16"/>
      <c r="H774" s="16"/>
      <c r="I774" s="17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ht="15.75" hidden="1" customHeight="1">
      <c r="A775" s="16"/>
      <c r="B775" s="16"/>
      <c r="C775" s="16"/>
      <c r="D775" s="16"/>
      <c r="E775" s="17"/>
      <c r="F775" s="16"/>
      <c r="G775" s="16"/>
      <c r="H775" s="16"/>
      <c r="I775" s="17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ht="15.75" hidden="1" customHeight="1">
      <c r="A776" s="16"/>
      <c r="B776" s="16"/>
      <c r="C776" s="16"/>
      <c r="D776" s="16"/>
      <c r="E776" s="17"/>
      <c r="F776" s="16"/>
      <c r="G776" s="16"/>
      <c r="H776" s="16"/>
      <c r="I776" s="17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ht="15.75" hidden="1" customHeight="1">
      <c r="A777" s="16"/>
      <c r="B777" s="16"/>
      <c r="C777" s="16"/>
      <c r="D777" s="16"/>
      <c r="E777" s="17"/>
      <c r="F777" s="16"/>
      <c r="G777" s="16"/>
      <c r="H777" s="16"/>
      <c r="I777" s="17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ht="15.75" hidden="1" customHeight="1">
      <c r="A778" s="16"/>
      <c r="B778" s="16"/>
      <c r="C778" s="16"/>
      <c r="D778" s="16"/>
      <c r="E778" s="17"/>
      <c r="F778" s="16"/>
      <c r="G778" s="16"/>
      <c r="H778" s="16"/>
      <c r="I778" s="17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ht="15.75" hidden="1" customHeight="1">
      <c r="A779" s="16"/>
      <c r="B779" s="16"/>
      <c r="C779" s="16"/>
      <c r="D779" s="16"/>
      <c r="E779" s="17"/>
      <c r="F779" s="16"/>
      <c r="G779" s="16"/>
      <c r="H779" s="16"/>
      <c r="I779" s="17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ht="15.75" hidden="1" customHeight="1">
      <c r="A780" s="16"/>
      <c r="B780" s="16"/>
      <c r="C780" s="16"/>
      <c r="D780" s="16"/>
      <c r="E780" s="17"/>
      <c r="F780" s="16"/>
      <c r="G780" s="16"/>
      <c r="H780" s="16"/>
      <c r="I780" s="17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ht="15.75" hidden="1" customHeight="1">
      <c r="A781" s="16"/>
      <c r="B781" s="16"/>
      <c r="C781" s="16"/>
      <c r="D781" s="16"/>
      <c r="E781" s="17"/>
      <c r="F781" s="16"/>
      <c r="G781" s="16"/>
      <c r="H781" s="16"/>
      <c r="I781" s="17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ht="15.75" hidden="1" customHeight="1">
      <c r="A782" s="16"/>
      <c r="B782" s="16"/>
      <c r="C782" s="16"/>
      <c r="D782" s="16"/>
      <c r="E782" s="17"/>
      <c r="F782" s="16"/>
      <c r="G782" s="16"/>
      <c r="H782" s="16"/>
      <c r="I782" s="17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ht="15.75" hidden="1" customHeight="1">
      <c r="A783" s="16"/>
      <c r="B783" s="16"/>
      <c r="C783" s="16"/>
      <c r="D783" s="16"/>
      <c r="E783" s="17"/>
      <c r="F783" s="16"/>
      <c r="G783" s="16"/>
      <c r="H783" s="16"/>
      <c r="I783" s="17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ht="15.75" hidden="1" customHeight="1">
      <c r="A784" s="16"/>
      <c r="B784" s="16"/>
      <c r="C784" s="16"/>
      <c r="D784" s="16"/>
      <c r="E784" s="17"/>
      <c r="F784" s="16"/>
      <c r="G784" s="16"/>
      <c r="H784" s="16"/>
      <c r="I784" s="17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ht="15.75" hidden="1" customHeight="1">
      <c r="A785" s="16"/>
      <c r="B785" s="16"/>
      <c r="C785" s="16"/>
      <c r="D785" s="16"/>
      <c r="E785" s="17"/>
      <c r="F785" s="16"/>
      <c r="G785" s="16"/>
      <c r="H785" s="16"/>
      <c r="I785" s="17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ht="15.75" hidden="1" customHeight="1">
      <c r="A786" s="16"/>
      <c r="B786" s="16"/>
      <c r="C786" s="16"/>
      <c r="D786" s="16"/>
      <c r="E786" s="17"/>
      <c r="F786" s="16"/>
      <c r="G786" s="16"/>
      <c r="H786" s="16"/>
      <c r="I786" s="17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ht="15.75" hidden="1" customHeight="1">
      <c r="A787" s="16"/>
      <c r="B787" s="16"/>
      <c r="C787" s="16"/>
      <c r="D787" s="16"/>
      <c r="E787" s="17"/>
      <c r="F787" s="16"/>
      <c r="G787" s="16"/>
      <c r="H787" s="16"/>
      <c r="I787" s="17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ht="15.75" hidden="1" customHeight="1">
      <c r="A788" s="16"/>
      <c r="B788" s="16"/>
      <c r="C788" s="16"/>
      <c r="D788" s="16"/>
      <c r="E788" s="17"/>
      <c r="F788" s="16"/>
      <c r="G788" s="16"/>
      <c r="H788" s="16"/>
      <c r="I788" s="17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ht="15.75" hidden="1" customHeight="1">
      <c r="A789" s="16"/>
      <c r="B789" s="16"/>
      <c r="C789" s="16"/>
      <c r="D789" s="16"/>
      <c r="E789" s="17"/>
      <c r="F789" s="16"/>
      <c r="G789" s="16"/>
      <c r="H789" s="16"/>
      <c r="I789" s="17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ht="15.75" hidden="1" customHeight="1">
      <c r="A790" s="16"/>
      <c r="B790" s="16"/>
      <c r="C790" s="16"/>
      <c r="D790" s="16"/>
      <c r="E790" s="17"/>
      <c r="F790" s="16"/>
      <c r="G790" s="16"/>
      <c r="H790" s="16"/>
      <c r="I790" s="17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ht="15.75" hidden="1" customHeight="1">
      <c r="A791" s="16"/>
      <c r="B791" s="16"/>
      <c r="C791" s="16"/>
      <c r="D791" s="16"/>
      <c r="E791" s="17"/>
      <c r="F791" s="16"/>
      <c r="G791" s="16"/>
      <c r="H791" s="16"/>
      <c r="I791" s="17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ht="15.75" hidden="1" customHeight="1">
      <c r="A792" s="16"/>
      <c r="B792" s="16"/>
      <c r="C792" s="16"/>
      <c r="D792" s="16"/>
      <c r="E792" s="17"/>
      <c r="F792" s="16"/>
      <c r="G792" s="16"/>
      <c r="H792" s="16"/>
      <c r="I792" s="17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ht="15.75" hidden="1" customHeight="1">
      <c r="A793" s="16"/>
      <c r="B793" s="16"/>
      <c r="C793" s="16"/>
      <c r="D793" s="16"/>
      <c r="E793" s="17"/>
      <c r="F793" s="16"/>
      <c r="G793" s="16"/>
      <c r="H793" s="16"/>
      <c r="I793" s="17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ht="15.75" hidden="1" customHeight="1">
      <c r="A794" s="16"/>
      <c r="B794" s="16"/>
      <c r="C794" s="16"/>
      <c r="D794" s="16"/>
      <c r="E794" s="17"/>
      <c r="F794" s="16"/>
      <c r="G794" s="16"/>
      <c r="H794" s="16"/>
      <c r="I794" s="17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ht="15.75" hidden="1" customHeight="1">
      <c r="A795" s="16"/>
      <c r="B795" s="16"/>
      <c r="C795" s="16"/>
      <c r="D795" s="16"/>
      <c r="E795" s="17"/>
      <c r="F795" s="16"/>
      <c r="G795" s="16"/>
      <c r="H795" s="16"/>
      <c r="I795" s="17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ht="15.75" hidden="1" customHeight="1">
      <c r="A796" s="16"/>
      <c r="B796" s="16"/>
      <c r="C796" s="16"/>
      <c r="D796" s="16"/>
      <c r="E796" s="17"/>
      <c r="F796" s="16"/>
      <c r="G796" s="16"/>
      <c r="H796" s="16"/>
      <c r="I796" s="17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ht="15.75" hidden="1" customHeight="1">
      <c r="A797" s="16"/>
      <c r="B797" s="16"/>
      <c r="C797" s="16"/>
      <c r="D797" s="16"/>
      <c r="E797" s="17"/>
      <c r="F797" s="16"/>
      <c r="G797" s="16"/>
      <c r="H797" s="16"/>
      <c r="I797" s="17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ht="15.75" hidden="1" customHeight="1">
      <c r="A798" s="16"/>
      <c r="B798" s="16"/>
      <c r="C798" s="16"/>
      <c r="D798" s="16"/>
      <c r="E798" s="17"/>
      <c r="F798" s="16"/>
      <c r="G798" s="16"/>
      <c r="H798" s="16"/>
      <c r="I798" s="17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ht="15.75" hidden="1" customHeight="1">
      <c r="A799" s="16"/>
      <c r="B799" s="16"/>
      <c r="C799" s="16"/>
      <c r="D799" s="16"/>
      <c r="E799" s="17"/>
      <c r="F799" s="16"/>
      <c r="G799" s="16"/>
      <c r="H799" s="16"/>
      <c r="I799" s="17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ht="15.75" hidden="1" customHeight="1">
      <c r="A800" s="16"/>
      <c r="B800" s="16"/>
      <c r="C800" s="16"/>
      <c r="D800" s="16"/>
      <c r="E800" s="17"/>
      <c r="F800" s="16"/>
      <c r="G800" s="16"/>
      <c r="H800" s="16"/>
      <c r="I800" s="17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ht="15.75" hidden="1" customHeight="1">
      <c r="A801" s="16"/>
      <c r="B801" s="16"/>
      <c r="C801" s="16"/>
      <c r="D801" s="16"/>
      <c r="E801" s="17"/>
      <c r="F801" s="16"/>
      <c r="G801" s="16"/>
      <c r="H801" s="16"/>
      <c r="I801" s="17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ht="15.75" hidden="1" customHeight="1">
      <c r="A802" s="16"/>
      <c r="B802" s="16"/>
      <c r="C802" s="16"/>
      <c r="D802" s="16"/>
      <c r="E802" s="17"/>
      <c r="F802" s="16"/>
      <c r="G802" s="16"/>
      <c r="H802" s="16"/>
      <c r="I802" s="17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ht="15.75" hidden="1" customHeight="1">
      <c r="A803" s="16"/>
      <c r="B803" s="16"/>
      <c r="C803" s="16"/>
      <c r="D803" s="16"/>
      <c r="E803" s="17"/>
      <c r="F803" s="16"/>
      <c r="G803" s="16"/>
      <c r="H803" s="16"/>
      <c r="I803" s="17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ht="15.75" hidden="1" customHeight="1">
      <c r="A804" s="16"/>
      <c r="B804" s="16"/>
      <c r="C804" s="16"/>
      <c r="D804" s="16"/>
      <c r="E804" s="17"/>
      <c r="F804" s="16"/>
      <c r="G804" s="16"/>
      <c r="H804" s="16"/>
      <c r="I804" s="17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ht="15.75" hidden="1" customHeight="1">
      <c r="A805" s="16"/>
      <c r="B805" s="16"/>
      <c r="C805" s="16"/>
      <c r="D805" s="16"/>
      <c r="E805" s="17"/>
      <c r="F805" s="16"/>
      <c r="G805" s="16"/>
      <c r="H805" s="16"/>
      <c r="I805" s="17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ht="15.75" hidden="1" customHeight="1">
      <c r="A806" s="16"/>
      <c r="B806" s="16"/>
      <c r="C806" s="16"/>
      <c r="D806" s="16"/>
      <c r="E806" s="17"/>
      <c r="F806" s="16"/>
      <c r="G806" s="16"/>
      <c r="H806" s="16"/>
      <c r="I806" s="17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ht="15.75" hidden="1" customHeight="1">
      <c r="A807" s="16"/>
      <c r="B807" s="16"/>
      <c r="C807" s="16"/>
      <c r="D807" s="16"/>
      <c r="E807" s="17"/>
      <c r="F807" s="16"/>
      <c r="G807" s="16"/>
      <c r="H807" s="16"/>
      <c r="I807" s="17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ht="15.75" hidden="1" customHeight="1">
      <c r="A808" s="16"/>
      <c r="B808" s="16"/>
      <c r="C808" s="16"/>
      <c r="D808" s="16"/>
      <c r="E808" s="17"/>
      <c r="F808" s="16"/>
      <c r="G808" s="16"/>
      <c r="H808" s="16"/>
      <c r="I808" s="17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ht="15.75" hidden="1" customHeight="1">
      <c r="A809" s="16"/>
      <c r="B809" s="16"/>
      <c r="C809" s="16"/>
      <c r="D809" s="16"/>
      <c r="E809" s="17"/>
      <c r="F809" s="16"/>
      <c r="G809" s="16"/>
      <c r="H809" s="16"/>
      <c r="I809" s="17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ht="15.75" hidden="1" customHeight="1">
      <c r="A810" s="16"/>
      <c r="B810" s="16"/>
      <c r="C810" s="16"/>
      <c r="D810" s="16"/>
      <c r="E810" s="17"/>
      <c r="F810" s="16"/>
      <c r="G810" s="16"/>
      <c r="H810" s="16"/>
      <c r="I810" s="17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ht="15.75" hidden="1" customHeight="1">
      <c r="A811" s="16"/>
      <c r="B811" s="16"/>
      <c r="C811" s="16"/>
      <c r="D811" s="16"/>
      <c r="E811" s="17"/>
      <c r="F811" s="16"/>
      <c r="G811" s="16"/>
      <c r="H811" s="16"/>
      <c r="I811" s="17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ht="15.75" hidden="1" customHeight="1">
      <c r="A812" s="16"/>
      <c r="B812" s="16"/>
      <c r="C812" s="16"/>
      <c r="D812" s="16"/>
      <c r="E812" s="17"/>
      <c r="F812" s="16"/>
      <c r="G812" s="16"/>
      <c r="H812" s="16"/>
      <c r="I812" s="17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ht="15.75" hidden="1" customHeight="1">
      <c r="A813" s="16"/>
      <c r="B813" s="16"/>
      <c r="C813" s="16"/>
      <c r="D813" s="16"/>
      <c r="E813" s="17"/>
      <c r="F813" s="16"/>
      <c r="G813" s="16"/>
      <c r="H813" s="16"/>
      <c r="I813" s="17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ht="15.75" hidden="1" customHeight="1">
      <c r="A814" s="16"/>
      <c r="B814" s="16"/>
      <c r="C814" s="16"/>
      <c r="D814" s="16"/>
      <c r="E814" s="17"/>
      <c r="F814" s="16"/>
      <c r="G814" s="16"/>
      <c r="H814" s="16"/>
      <c r="I814" s="17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ht="15.75" hidden="1" customHeight="1">
      <c r="A815" s="16"/>
      <c r="B815" s="16"/>
      <c r="C815" s="16"/>
      <c r="D815" s="16"/>
      <c r="E815" s="17"/>
      <c r="F815" s="16"/>
      <c r="G815" s="16"/>
      <c r="H815" s="16"/>
      <c r="I815" s="17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ht="15.75" hidden="1" customHeight="1">
      <c r="A816" s="16"/>
      <c r="B816" s="16"/>
      <c r="C816" s="16"/>
      <c r="D816" s="16"/>
      <c r="E816" s="17"/>
      <c r="F816" s="16"/>
      <c r="G816" s="16"/>
      <c r="H816" s="16"/>
      <c r="I816" s="17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ht="15.75" hidden="1" customHeight="1">
      <c r="A817" s="16"/>
      <c r="B817" s="16"/>
      <c r="C817" s="16"/>
      <c r="D817" s="16"/>
      <c r="E817" s="17"/>
      <c r="F817" s="16"/>
      <c r="G817" s="16"/>
      <c r="H817" s="16"/>
      <c r="I817" s="17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ht="15.75" hidden="1" customHeight="1">
      <c r="A818" s="16"/>
      <c r="B818" s="16"/>
      <c r="C818" s="16"/>
      <c r="D818" s="16"/>
      <c r="E818" s="17"/>
      <c r="F818" s="16"/>
      <c r="G818" s="16"/>
      <c r="H818" s="16"/>
      <c r="I818" s="17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ht="15.75" hidden="1" customHeight="1">
      <c r="A819" s="16"/>
      <c r="B819" s="16"/>
      <c r="C819" s="16"/>
      <c r="D819" s="16"/>
      <c r="E819" s="17"/>
      <c r="F819" s="16"/>
      <c r="G819" s="16"/>
      <c r="H819" s="16"/>
      <c r="I819" s="17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ht="15.75" hidden="1" customHeight="1">
      <c r="A820" s="16"/>
      <c r="B820" s="16"/>
      <c r="C820" s="16"/>
      <c r="D820" s="16"/>
      <c r="E820" s="17"/>
      <c r="F820" s="16"/>
      <c r="G820" s="16"/>
      <c r="H820" s="16"/>
      <c r="I820" s="17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ht="15.75" hidden="1" customHeight="1">
      <c r="A821" s="16"/>
      <c r="B821" s="16"/>
      <c r="C821" s="16"/>
      <c r="D821" s="16"/>
      <c r="E821" s="17"/>
      <c r="F821" s="16"/>
      <c r="G821" s="16"/>
      <c r="H821" s="16"/>
      <c r="I821" s="17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ht="15.75" hidden="1" customHeight="1">
      <c r="A822" s="16"/>
      <c r="B822" s="16"/>
      <c r="C822" s="16"/>
      <c r="D822" s="16"/>
      <c r="E822" s="17"/>
      <c r="F822" s="16"/>
      <c r="G822" s="16"/>
      <c r="H822" s="16"/>
      <c r="I822" s="17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ht="15.75" hidden="1" customHeight="1">
      <c r="A823" s="16"/>
      <c r="B823" s="16"/>
      <c r="C823" s="16"/>
      <c r="D823" s="16"/>
      <c r="E823" s="17"/>
      <c r="F823" s="16"/>
      <c r="G823" s="16"/>
      <c r="H823" s="16"/>
      <c r="I823" s="17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ht="15.75" hidden="1" customHeight="1">
      <c r="A824" s="16"/>
      <c r="B824" s="16"/>
      <c r="C824" s="16"/>
      <c r="D824" s="16"/>
      <c r="E824" s="17"/>
      <c r="F824" s="16"/>
      <c r="G824" s="16"/>
      <c r="H824" s="16"/>
      <c r="I824" s="17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ht="15.75" hidden="1" customHeight="1">
      <c r="A825" s="16"/>
      <c r="B825" s="16"/>
      <c r="C825" s="16"/>
      <c r="D825" s="16"/>
      <c r="E825" s="17"/>
      <c r="F825" s="16"/>
      <c r="G825" s="16"/>
      <c r="H825" s="16"/>
      <c r="I825" s="17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ht="15.75" hidden="1" customHeight="1">
      <c r="A826" s="16"/>
      <c r="B826" s="16"/>
      <c r="C826" s="16"/>
      <c r="D826" s="16"/>
      <c r="E826" s="17"/>
      <c r="F826" s="16"/>
      <c r="G826" s="16"/>
      <c r="H826" s="16"/>
      <c r="I826" s="17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ht="15.75" hidden="1" customHeight="1">
      <c r="A827" s="16"/>
      <c r="B827" s="16"/>
      <c r="C827" s="16"/>
      <c r="D827" s="16"/>
      <c r="E827" s="17"/>
      <c r="F827" s="16"/>
      <c r="G827" s="16"/>
      <c r="H827" s="16"/>
      <c r="I827" s="17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ht="15.75" hidden="1" customHeight="1">
      <c r="A828" s="16"/>
      <c r="B828" s="16"/>
      <c r="C828" s="16"/>
      <c r="D828" s="16"/>
      <c r="E828" s="17"/>
      <c r="F828" s="16"/>
      <c r="G828" s="16"/>
      <c r="H828" s="16"/>
      <c r="I828" s="17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ht="15.75" hidden="1" customHeight="1">
      <c r="A829" s="16"/>
      <c r="B829" s="16"/>
      <c r="C829" s="16"/>
      <c r="D829" s="16"/>
      <c r="E829" s="17"/>
      <c r="F829" s="16"/>
      <c r="G829" s="16"/>
      <c r="H829" s="16"/>
      <c r="I829" s="17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ht="15.75" hidden="1" customHeight="1">
      <c r="A830" s="16"/>
      <c r="B830" s="16"/>
      <c r="C830" s="16"/>
      <c r="D830" s="16"/>
      <c r="E830" s="17"/>
      <c r="F830" s="16"/>
      <c r="G830" s="16"/>
      <c r="H830" s="16"/>
      <c r="I830" s="17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ht="15.75" hidden="1" customHeight="1">
      <c r="A831" s="16"/>
      <c r="B831" s="16"/>
      <c r="C831" s="16"/>
      <c r="D831" s="16"/>
      <c r="E831" s="17"/>
      <c r="F831" s="16"/>
      <c r="G831" s="16"/>
      <c r="H831" s="16"/>
      <c r="I831" s="17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ht="15.75" hidden="1" customHeight="1">
      <c r="A832" s="16"/>
      <c r="B832" s="16"/>
      <c r="C832" s="16"/>
      <c r="D832" s="16"/>
      <c r="E832" s="17"/>
      <c r="F832" s="16"/>
      <c r="G832" s="16"/>
      <c r="H832" s="16"/>
      <c r="I832" s="17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ht="15.75" hidden="1" customHeight="1">
      <c r="A833" s="16"/>
      <c r="B833" s="16"/>
      <c r="C833" s="16"/>
      <c r="D833" s="16"/>
      <c r="E833" s="17"/>
      <c r="F833" s="16"/>
      <c r="G833" s="16"/>
      <c r="H833" s="16"/>
      <c r="I833" s="17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ht="15.75" hidden="1" customHeight="1">
      <c r="A834" s="16"/>
      <c r="B834" s="16"/>
      <c r="C834" s="16"/>
      <c r="D834" s="16"/>
      <c r="E834" s="17"/>
      <c r="F834" s="16"/>
      <c r="G834" s="16"/>
      <c r="H834" s="16"/>
      <c r="I834" s="17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ht="15.75" hidden="1" customHeight="1">
      <c r="A835" s="16"/>
      <c r="B835" s="16"/>
      <c r="C835" s="16"/>
      <c r="D835" s="16"/>
      <c r="E835" s="17"/>
      <c r="F835" s="16"/>
      <c r="G835" s="16"/>
      <c r="H835" s="16"/>
      <c r="I835" s="17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ht="15.75" hidden="1" customHeight="1">
      <c r="A836" s="16"/>
      <c r="B836" s="16"/>
      <c r="C836" s="16"/>
      <c r="D836" s="16"/>
      <c r="E836" s="17"/>
      <c r="F836" s="16"/>
      <c r="G836" s="16"/>
      <c r="H836" s="16"/>
      <c r="I836" s="17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ht="15.75" hidden="1" customHeight="1">
      <c r="A837" s="16"/>
      <c r="B837" s="16"/>
      <c r="C837" s="16"/>
      <c r="D837" s="16"/>
      <c r="E837" s="17"/>
      <c r="F837" s="16"/>
      <c r="G837" s="16"/>
      <c r="H837" s="16"/>
      <c r="I837" s="17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ht="15.75" hidden="1" customHeight="1">
      <c r="A838" s="16"/>
      <c r="B838" s="16"/>
      <c r="C838" s="16"/>
      <c r="D838" s="16"/>
      <c r="E838" s="17"/>
      <c r="F838" s="16"/>
      <c r="G838" s="16"/>
      <c r="H838" s="16"/>
      <c r="I838" s="17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ht="15.75" hidden="1" customHeight="1">
      <c r="A839" s="16"/>
      <c r="B839" s="16"/>
      <c r="C839" s="16"/>
      <c r="D839" s="16"/>
      <c r="E839" s="17"/>
      <c r="F839" s="16"/>
      <c r="G839" s="16"/>
      <c r="H839" s="16"/>
      <c r="I839" s="17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ht="15.75" hidden="1" customHeight="1">
      <c r="A840" s="16"/>
      <c r="B840" s="16"/>
      <c r="C840" s="16"/>
      <c r="D840" s="16"/>
      <c r="E840" s="17"/>
      <c r="F840" s="16"/>
      <c r="G840" s="16"/>
      <c r="H840" s="16"/>
      <c r="I840" s="17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ht="15.75" hidden="1" customHeight="1">
      <c r="A841" s="16"/>
      <c r="B841" s="16"/>
      <c r="C841" s="16"/>
      <c r="D841" s="16"/>
      <c r="E841" s="17"/>
      <c r="F841" s="16"/>
      <c r="G841" s="16"/>
      <c r="H841" s="16"/>
      <c r="I841" s="17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ht="15.75" hidden="1" customHeight="1">
      <c r="A842" s="16"/>
      <c r="B842" s="16"/>
      <c r="C842" s="16"/>
      <c r="D842" s="16"/>
      <c r="E842" s="17"/>
      <c r="F842" s="16"/>
      <c r="G842" s="16"/>
      <c r="H842" s="16"/>
      <c r="I842" s="17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ht="15.75" hidden="1" customHeight="1">
      <c r="A843" s="16"/>
      <c r="B843" s="16"/>
      <c r="C843" s="16"/>
      <c r="D843" s="16"/>
      <c r="E843" s="17"/>
      <c r="F843" s="16"/>
      <c r="G843" s="16"/>
      <c r="H843" s="16"/>
      <c r="I843" s="17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ht="15.75" hidden="1" customHeight="1">
      <c r="A844" s="16"/>
      <c r="B844" s="16"/>
      <c r="C844" s="16"/>
      <c r="D844" s="16"/>
      <c r="E844" s="17"/>
      <c r="F844" s="16"/>
      <c r="G844" s="16"/>
      <c r="H844" s="16"/>
      <c r="I844" s="17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ht="15.75" hidden="1" customHeight="1">
      <c r="A845" s="16"/>
      <c r="B845" s="16"/>
      <c r="C845" s="16"/>
      <c r="D845" s="16"/>
      <c r="E845" s="17"/>
      <c r="F845" s="16"/>
      <c r="G845" s="16"/>
      <c r="H845" s="16"/>
      <c r="I845" s="17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ht="15.75" hidden="1" customHeight="1">
      <c r="A846" s="16"/>
      <c r="B846" s="16"/>
      <c r="C846" s="16"/>
      <c r="D846" s="16"/>
      <c r="E846" s="17"/>
      <c r="F846" s="16"/>
      <c r="G846" s="16"/>
      <c r="H846" s="16"/>
      <c r="I846" s="17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ht="15.75" hidden="1" customHeight="1">
      <c r="A847" s="16"/>
      <c r="B847" s="16"/>
      <c r="C847" s="16"/>
      <c r="D847" s="16"/>
      <c r="E847" s="17"/>
      <c r="F847" s="16"/>
      <c r="G847" s="16"/>
      <c r="H847" s="16"/>
      <c r="I847" s="17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ht="15.75" hidden="1" customHeight="1">
      <c r="A848" s="16"/>
      <c r="B848" s="16"/>
      <c r="C848" s="16"/>
      <c r="D848" s="16"/>
      <c r="E848" s="17"/>
      <c r="F848" s="16"/>
      <c r="G848" s="16"/>
      <c r="H848" s="16"/>
      <c r="I848" s="17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ht="15.75" hidden="1" customHeight="1">
      <c r="A849" s="16"/>
      <c r="B849" s="16"/>
      <c r="C849" s="16"/>
      <c r="D849" s="16"/>
      <c r="E849" s="17"/>
      <c r="F849" s="16"/>
      <c r="G849" s="16"/>
      <c r="H849" s="16"/>
      <c r="I849" s="17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ht="15.75" hidden="1" customHeight="1">
      <c r="A850" s="16"/>
      <c r="B850" s="16"/>
      <c r="C850" s="16"/>
      <c r="D850" s="16"/>
      <c r="E850" s="17"/>
      <c r="F850" s="16"/>
      <c r="G850" s="16"/>
      <c r="H850" s="16"/>
      <c r="I850" s="17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ht="15.75" hidden="1" customHeight="1">
      <c r="A851" s="16"/>
      <c r="B851" s="16"/>
      <c r="C851" s="16"/>
      <c r="D851" s="16"/>
      <c r="E851" s="17"/>
      <c r="F851" s="16"/>
      <c r="G851" s="16"/>
      <c r="H851" s="16"/>
      <c r="I851" s="17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ht="15.75" hidden="1" customHeight="1">
      <c r="A852" s="16"/>
      <c r="B852" s="16"/>
      <c r="C852" s="16"/>
      <c r="D852" s="16"/>
      <c r="E852" s="17"/>
      <c r="F852" s="16"/>
      <c r="G852" s="16"/>
      <c r="H852" s="16"/>
      <c r="I852" s="17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ht="15.75" hidden="1" customHeight="1">
      <c r="A853" s="16"/>
      <c r="B853" s="16"/>
      <c r="C853" s="16"/>
      <c r="D853" s="16"/>
      <c r="E853" s="17"/>
      <c r="F853" s="16"/>
      <c r="G853" s="16"/>
      <c r="H853" s="16"/>
      <c r="I853" s="17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ht="15.75" hidden="1" customHeight="1">
      <c r="A854" s="16"/>
      <c r="B854" s="16"/>
      <c r="C854" s="16"/>
      <c r="D854" s="16"/>
      <c r="E854" s="17"/>
      <c r="F854" s="16"/>
      <c r="G854" s="16"/>
      <c r="H854" s="16"/>
      <c r="I854" s="17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ht="15.75" hidden="1" customHeight="1">
      <c r="A855" s="16"/>
      <c r="B855" s="16"/>
      <c r="C855" s="16"/>
      <c r="D855" s="16"/>
      <c r="E855" s="17"/>
      <c r="F855" s="16"/>
      <c r="G855" s="16"/>
      <c r="H855" s="16"/>
      <c r="I855" s="17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ht="15.75" hidden="1" customHeight="1">
      <c r="A856" s="16"/>
      <c r="B856" s="16"/>
      <c r="C856" s="16"/>
      <c r="D856" s="16"/>
      <c r="E856" s="17"/>
      <c r="F856" s="16"/>
      <c r="G856" s="16"/>
      <c r="H856" s="16"/>
      <c r="I856" s="17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ht="15.75" hidden="1" customHeight="1">
      <c r="A857" s="16"/>
      <c r="B857" s="16"/>
      <c r="C857" s="16"/>
      <c r="D857" s="16"/>
      <c r="E857" s="17"/>
      <c r="F857" s="16"/>
      <c r="G857" s="16"/>
      <c r="H857" s="16"/>
      <c r="I857" s="17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ht="15.75" hidden="1" customHeight="1">
      <c r="A858" s="16"/>
      <c r="B858" s="16"/>
      <c r="C858" s="16"/>
      <c r="D858" s="16"/>
      <c r="E858" s="17"/>
      <c r="F858" s="16"/>
      <c r="G858" s="16"/>
      <c r="H858" s="16"/>
      <c r="I858" s="17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ht="15.75" hidden="1" customHeight="1">
      <c r="A859" s="16"/>
      <c r="B859" s="16"/>
      <c r="C859" s="16"/>
      <c r="D859" s="16"/>
      <c r="E859" s="17"/>
      <c r="F859" s="16"/>
      <c r="G859" s="16"/>
      <c r="H859" s="16"/>
      <c r="I859" s="17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ht="15.75" hidden="1" customHeight="1">
      <c r="A860" s="16"/>
      <c r="B860" s="16"/>
      <c r="C860" s="16"/>
      <c r="D860" s="16"/>
      <c r="E860" s="17"/>
      <c r="F860" s="16"/>
      <c r="G860" s="16"/>
      <c r="H860" s="16"/>
      <c r="I860" s="17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ht="15.75" hidden="1" customHeight="1">
      <c r="A861" s="16"/>
      <c r="B861" s="16"/>
      <c r="C861" s="16"/>
      <c r="D861" s="16"/>
      <c r="E861" s="17"/>
      <c r="F861" s="16"/>
      <c r="G861" s="16"/>
      <c r="H861" s="16"/>
      <c r="I861" s="17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ht="15.75" hidden="1" customHeight="1">
      <c r="A862" s="16"/>
      <c r="B862" s="16"/>
      <c r="C862" s="16"/>
      <c r="D862" s="16"/>
      <c r="E862" s="17"/>
      <c r="F862" s="16"/>
      <c r="G862" s="16"/>
      <c r="H862" s="16"/>
      <c r="I862" s="17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ht="15.75" hidden="1" customHeight="1">
      <c r="A863" s="16"/>
      <c r="B863" s="16"/>
      <c r="C863" s="16"/>
      <c r="D863" s="16"/>
      <c r="E863" s="17"/>
      <c r="F863" s="16"/>
      <c r="G863" s="16"/>
      <c r="H863" s="16"/>
      <c r="I863" s="17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ht="15.75" hidden="1" customHeight="1">
      <c r="A864" s="16"/>
      <c r="B864" s="16"/>
      <c r="C864" s="16"/>
      <c r="D864" s="16"/>
      <c r="E864" s="17"/>
      <c r="F864" s="16"/>
      <c r="G864" s="16"/>
      <c r="H864" s="16"/>
      <c r="I864" s="17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ht="15.75" hidden="1" customHeight="1">
      <c r="A865" s="16"/>
      <c r="B865" s="16"/>
      <c r="C865" s="16"/>
      <c r="D865" s="16"/>
      <c r="E865" s="17"/>
      <c r="F865" s="16"/>
      <c r="G865" s="16"/>
      <c r="H865" s="16"/>
      <c r="I865" s="17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ht="15.75" hidden="1" customHeight="1">
      <c r="A866" s="16"/>
      <c r="B866" s="16"/>
      <c r="C866" s="16"/>
      <c r="D866" s="16"/>
      <c r="E866" s="17"/>
      <c r="F866" s="16"/>
      <c r="G866" s="16"/>
      <c r="H866" s="16"/>
      <c r="I866" s="17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ht="15.75" hidden="1" customHeight="1">
      <c r="A867" s="16"/>
      <c r="B867" s="16"/>
      <c r="C867" s="16"/>
      <c r="D867" s="16"/>
      <c r="E867" s="17"/>
      <c r="F867" s="16"/>
      <c r="G867" s="16"/>
      <c r="H867" s="16"/>
      <c r="I867" s="17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ht="15.75" hidden="1" customHeight="1">
      <c r="A868" s="16"/>
      <c r="B868" s="16"/>
      <c r="C868" s="16"/>
      <c r="D868" s="16"/>
      <c r="E868" s="17"/>
      <c r="F868" s="16"/>
      <c r="G868" s="16"/>
      <c r="H868" s="16"/>
      <c r="I868" s="17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ht="15.75" hidden="1" customHeight="1">
      <c r="A869" s="16"/>
      <c r="B869" s="16"/>
      <c r="C869" s="16"/>
      <c r="D869" s="16"/>
      <c r="E869" s="17"/>
      <c r="F869" s="16"/>
      <c r="G869" s="16"/>
      <c r="H869" s="16"/>
      <c r="I869" s="17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ht="15.75" hidden="1" customHeight="1">
      <c r="A870" s="16"/>
      <c r="B870" s="16"/>
      <c r="C870" s="16"/>
      <c r="D870" s="16"/>
      <c r="E870" s="17"/>
      <c r="F870" s="16"/>
      <c r="G870" s="16"/>
      <c r="H870" s="16"/>
      <c r="I870" s="17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ht="15.75" hidden="1" customHeight="1">
      <c r="A871" s="16"/>
      <c r="B871" s="16"/>
      <c r="C871" s="16"/>
      <c r="D871" s="16"/>
      <c r="E871" s="17"/>
      <c r="F871" s="16"/>
      <c r="G871" s="16"/>
      <c r="H871" s="16"/>
      <c r="I871" s="17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ht="15.75" hidden="1" customHeight="1">
      <c r="A872" s="16"/>
      <c r="B872" s="16"/>
      <c r="C872" s="16"/>
      <c r="D872" s="16"/>
      <c r="E872" s="17"/>
      <c r="F872" s="16"/>
      <c r="G872" s="16"/>
      <c r="H872" s="16"/>
      <c r="I872" s="17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ht="15.75" hidden="1" customHeight="1">
      <c r="A873" s="16"/>
      <c r="B873" s="16"/>
      <c r="C873" s="16"/>
      <c r="D873" s="16"/>
      <c r="E873" s="17"/>
      <c r="F873" s="16"/>
      <c r="G873" s="16"/>
      <c r="H873" s="16"/>
      <c r="I873" s="17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ht="15.75" hidden="1" customHeight="1">
      <c r="A874" s="16"/>
      <c r="B874" s="16"/>
      <c r="C874" s="16"/>
      <c r="D874" s="16"/>
      <c r="E874" s="17"/>
      <c r="F874" s="16"/>
      <c r="G874" s="16"/>
      <c r="H874" s="16"/>
      <c r="I874" s="17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ht="15.75" hidden="1" customHeight="1">
      <c r="A875" s="16"/>
      <c r="B875" s="16"/>
      <c r="C875" s="16"/>
      <c r="D875" s="16"/>
      <c r="E875" s="17"/>
      <c r="F875" s="16"/>
      <c r="G875" s="16"/>
      <c r="H875" s="16"/>
      <c r="I875" s="17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ht="15.75" hidden="1" customHeight="1">
      <c r="A876" s="16"/>
      <c r="B876" s="16"/>
      <c r="C876" s="16"/>
      <c r="D876" s="16"/>
      <c r="E876" s="17"/>
      <c r="F876" s="16"/>
      <c r="G876" s="16"/>
      <c r="H876" s="16"/>
      <c r="I876" s="17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ht="15.75" hidden="1" customHeight="1">
      <c r="A877" s="16"/>
      <c r="B877" s="16"/>
      <c r="C877" s="16"/>
      <c r="D877" s="16"/>
      <c r="E877" s="17"/>
      <c r="F877" s="16"/>
      <c r="G877" s="16"/>
      <c r="H877" s="16"/>
      <c r="I877" s="17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ht="15.75" hidden="1" customHeight="1">
      <c r="A878" s="16"/>
      <c r="B878" s="16"/>
      <c r="C878" s="16"/>
      <c r="D878" s="16"/>
      <c r="E878" s="17"/>
      <c r="F878" s="16"/>
      <c r="G878" s="16"/>
      <c r="H878" s="16"/>
      <c r="I878" s="17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ht="15.75" hidden="1" customHeight="1">
      <c r="A879" s="16"/>
      <c r="B879" s="16"/>
      <c r="C879" s="16"/>
      <c r="D879" s="16"/>
      <c r="E879" s="17"/>
      <c r="F879" s="16"/>
      <c r="G879" s="16"/>
      <c r="H879" s="16"/>
      <c r="I879" s="17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ht="15.75" hidden="1" customHeight="1">
      <c r="A880" s="16"/>
      <c r="B880" s="16"/>
      <c r="C880" s="16"/>
      <c r="D880" s="16"/>
      <c r="E880" s="17"/>
      <c r="F880" s="16"/>
      <c r="G880" s="16"/>
      <c r="H880" s="16"/>
      <c r="I880" s="17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ht="15.75" hidden="1" customHeight="1">
      <c r="A881" s="16"/>
      <c r="B881" s="16"/>
      <c r="C881" s="16"/>
      <c r="D881" s="16"/>
      <c r="E881" s="17"/>
      <c r="F881" s="16"/>
      <c r="G881" s="16"/>
      <c r="H881" s="16"/>
      <c r="I881" s="17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ht="15.75" hidden="1" customHeight="1">
      <c r="A882" s="16"/>
      <c r="B882" s="16"/>
      <c r="C882" s="16"/>
      <c r="D882" s="16"/>
      <c r="E882" s="17"/>
      <c r="F882" s="16"/>
      <c r="G882" s="16"/>
      <c r="H882" s="16"/>
      <c r="I882" s="17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ht="15.75" hidden="1" customHeight="1">
      <c r="A883" s="16"/>
      <c r="B883" s="16"/>
      <c r="C883" s="16"/>
      <c r="D883" s="16"/>
      <c r="E883" s="17"/>
      <c r="F883" s="16"/>
      <c r="G883" s="16"/>
      <c r="H883" s="16"/>
      <c r="I883" s="17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ht="15.75" hidden="1" customHeight="1">
      <c r="A884" s="16"/>
      <c r="B884" s="16"/>
      <c r="C884" s="16"/>
      <c r="D884" s="16"/>
      <c r="E884" s="17"/>
      <c r="F884" s="16"/>
      <c r="G884" s="16"/>
      <c r="H884" s="16"/>
      <c r="I884" s="17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ht="15.75" hidden="1" customHeight="1">
      <c r="A885" s="16"/>
      <c r="B885" s="16"/>
      <c r="C885" s="16"/>
      <c r="D885" s="16"/>
      <c r="E885" s="17"/>
      <c r="F885" s="16"/>
      <c r="G885" s="16"/>
      <c r="H885" s="16"/>
      <c r="I885" s="17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ht="15.75" hidden="1" customHeight="1">
      <c r="A886" s="16"/>
      <c r="B886" s="16"/>
      <c r="C886" s="16"/>
      <c r="D886" s="16"/>
      <c r="E886" s="17"/>
      <c r="F886" s="16"/>
      <c r="G886" s="16"/>
      <c r="H886" s="16"/>
      <c r="I886" s="17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ht="15.75" hidden="1" customHeight="1">
      <c r="A887" s="16"/>
      <c r="B887" s="16"/>
      <c r="C887" s="16"/>
      <c r="D887" s="16"/>
      <c r="E887" s="17"/>
      <c r="F887" s="16"/>
      <c r="G887" s="16"/>
      <c r="H887" s="16"/>
      <c r="I887" s="17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ht="15.75" hidden="1" customHeight="1">
      <c r="A888" s="16"/>
      <c r="B888" s="16"/>
      <c r="C888" s="16"/>
      <c r="D888" s="16"/>
      <c r="E888" s="17"/>
      <c r="F888" s="16"/>
      <c r="G888" s="16"/>
      <c r="H888" s="16"/>
      <c r="I888" s="17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ht="15.75" hidden="1" customHeight="1">
      <c r="A889" s="16"/>
      <c r="B889" s="16"/>
      <c r="C889" s="16"/>
      <c r="D889" s="16"/>
      <c r="E889" s="17"/>
      <c r="F889" s="16"/>
      <c r="G889" s="16"/>
      <c r="H889" s="16"/>
      <c r="I889" s="17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ht="15.75" hidden="1" customHeight="1">
      <c r="A890" s="16"/>
      <c r="B890" s="16"/>
      <c r="C890" s="16"/>
      <c r="D890" s="16"/>
      <c r="E890" s="17"/>
      <c r="F890" s="16"/>
      <c r="G890" s="16"/>
      <c r="H890" s="16"/>
      <c r="I890" s="17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ht="15.75" hidden="1" customHeight="1">
      <c r="A891" s="16"/>
      <c r="B891" s="16"/>
      <c r="C891" s="16"/>
      <c r="D891" s="16"/>
      <c r="E891" s="17"/>
      <c r="F891" s="16"/>
      <c r="G891" s="16"/>
      <c r="H891" s="16"/>
      <c r="I891" s="17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ht="15.75" hidden="1" customHeight="1">
      <c r="A892" s="16"/>
      <c r="B892" s="16"/>
      <c r="C892" s="16"/>
      <c r="D892" s="16"/>
      <c r="E892" s="17"/>
      <c r="F892" s="16"/>
      <c r="G892" s="16"/>
      <c r="H892" s="16"/>
      <c r="I892" s="17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ht="15.75" hidden="1" customHeight="1">
      <c r="A893" s="16"/>
      <c r="B893" s="16"/>
      <c r="C893" s="16"/>
      <c r="D893" s="16"/>
      <c r="E893" s="17"/>
      <c r="F893" s="16"/>
      <c r="G893" s="16"/>
      <c r="H893" s="16"/>
      <c r="I893" s="17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ht="15.75" hidden="1" customHeight="1">
      <c r="A894" s="16"/>
      <c r="B894" s="16"/>
      <c r="C894" s="16"/>
      <c r="D894" s="16"/>
      <c r="E894" s="17"/>
      <c r="F894" s="16"/>
      <c r="G894" s="16"/>
      <c r="H894" s="16"/>
      <c r="I894" s="17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ht="15.75" hidden="1" customHeight="1">
      <c r="A895" s="16"/>
      <c r="B895" s="16"/>
      <c r="C895" s="16"/>
      <c r="D895" s="16"/>
      <c r="E895" s="17"/>
      <c r="F895" s="16"/>
      <c r="G895" s="16"/>
      <c r="H895" s="16"/>
      <c r="I895" s="17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ht="15.75" hidden="1" customHeight="1">
      <c r="A896" s="16"/>
      <c r="B896" s="16"/>
      <c r="C896" s="16"/>
      <c r="D896" s="16"/>
      <c r="E896" s="17"/>
      <c r="F896" s="16"/>
      <c r="G896" s="16"/>
      <c r="H896" s="16"/>
      <c r="I896" s="17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ht="15.75" hidden="1" customHeight="1">
      <c r="A897" s="16"/>
      <c r="B897" s="16"/>
      <c r="C897" s="16"/>
      <c r="D897" s="16"/>
      <c r="E897" s="17"/>
      <c r="F897" s="16"/>
      <c r="G897" s="16"/>
      <c r="H897" s="16"/>
      <c r="I897" s="17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ht="15.75" hidden="1" customHeight="1">
      <c r="A898" s="16"/>
      <c r="B898" s="16"/>
      <c r="C898" s="16"/>
      <c r="D898" s="16"/>
      <c r="E898" s="17"/>
      <c r="F898" s="16"/>
      <c r="G898" s="16"/>
      <c r="H898" s="16"/>
      <c r="I898" s="17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ht="15.75" hidden="1" customHeight="1">
      <c r="A899" s="16"/>
      <c r="B899" s="16"/>
      <c r="C899" s="16"/>
      <c r="D899" s="16"/>
      <c r="E899" s="17"/>
      <c r="F899" s="16"/>
      <c r="G899" s="16"/>
      <c r="H899" s="16"/>
      <c r="I899" s="17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ht="15.75" hidden="1" customHeight="1">
      <c r="A900" s="16"/>
      <c r="B900" s="16"/>
      <c r="C900" s="16"/>
      <c r="D900" s="16"/>
      <c r="E900" s="17"/>
      <c r="F900" s="16"/>
      <c r="G900" s="16"/>
      <c r="H900" s="16"/>
      <c r="I900" s="17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ht="15.75" hidden="1" customHeight="1">
      <c r="A901" s="16"/>
      <c r="B901" s="16"/>
      <c r="C901" s="16"/>
      <c r="D901" s="16"/>
      <c r="E901" s="17"/>
      <c r="F901" s="16"/>
      <c r="G901" s="16"/>
      <c r="H901" s="16"/>
      <c r="I901" s="17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ht="15.75" hidden="1" customHeight="1">
      <c r="A902" s="16"/>
      <c r="B902" s="16"/>
      <c r="C902" s="16"/>
      <c r="D902" s="16"/>
      <c r="E902" s="17"/>
      <c r="F902" s="16"/>
      <c r="G902" s="16"/>
      <c r="H902" s="16"/>
      <c r="I902" s="17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ht="15.75" hidden="1" customHeight="1">
      <c r="A903" s="16"/>
      <c r="B903" s="16"/>
      <c r="C903" s="16"/>
      <c r="D903" s="16"/>
      <c r="E903" s="17"/>
      <c r="F903" s="16"/>
      <c r="G903" s="16"/>
      <c r="H903" s="16"/>
      <c r="I903" s="17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ht="15.75" hidden="1" customHeight="1">
      <c r="A904" s="16"/>
      <c r="B904" s="16"/>
      <c r="C904" s="16"/>
      <c r="D904" s="16"/>
      <c r="E904" s="17"/>
      <c r="F904" s="16"/>
      <c r="G904" s="16"/>
      <c r="H904" s="16"/>
      <c r="I904" s="17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ht="15.75" hidden="1" customHeight="1">
      <c r="A905" s="16"/>
      <c r="B905" s="16"/>
      <c r="C905" s="16"/>
      <c r="D905" s="16"/>
      <c r="E905" s="17"/>
      <c r="F905" s="16"/>
      <c r="G905" s="16"/>
      <c r="H905" s="16"/>
      <c r="I905" s="17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ht="15.75" hidden="1" customHeight="1">
      <c r="A906" s="16"/>
      <c r="B906" s="16"/>
      <c r="C906" s="16"/>
      <c r="D906" s="16"/>
      <c r="E906" s="17"/>
      <c r="F906" s="16"/>
      <c r="G906" s="16"/>
      <c r="H906" s="16"/>
      <c r="I906" s="17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ht="15.75" hidden="1" customHeight="1">
      <c r="A907" s="16"/>
      <c r="B907" s="16"/>
      <c r="C907" s="16"/>
      <c r="D907" s="16"/>
      <c r="E907" s="17"/>
      <c r="F907" s="16"/>
      <c r="G907" s="16"/>
      <c r="H907" s="16"/>
      <c r="I907" s="17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ht="15.75" hidden="1" customHeight="1">
      <c r="A908" s="16"/>
      <c r="B908" s="16"/>
      <c r="C908" s="16"/>
      <c r="D908" s="16"/>
      <c r="E908" s="17"/>
      <c r="F908" s="16"/>
      <c r="G908" s="16"/>
      <c r="H908" s="16"/>
      <c r="I908" s="17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ht="15.75" hidden="1" customHeight="1">
      <c r="A909" s="16"/>
      <c r="B909" s="16"/>
      <c r="C909" s="16"/>
      <c r="D909" s="16"/>
      <c r="E909" s="17"/>
      <c r="F909" s="16"/>
      <c r="G909" s="16"/>
      <c r="H909" s="16"/>
      <c r="I909" s="17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ht="15.75" hidden="1" customHeight="1">
      <c r="A910" s="16"/>
      <c r="B910" s="16"/>
      <c r="C910" s="16"/>
      <c r="D910" s="16"/>
      <c r="E910" s="17"/>
      <c r="F910" s="16"/>
      <c r="G910" s="16"/>
      <c r="H910" s="16"/>
      <c r="I910" s="17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ht="15.75" hidden="1" customHeight="1">
      <c r="A911" s="16"/>
      <c r="B911" s="16"/>
      <c r="C911" s="16"/>
      <c r="D911" s="16"/>
      <c r="E911" s="17"/>
      <c r="F911" s="16"/>
      <c r="G911" s="16"/>
      <c r="H911" s="16"/>
      <c r="I911" s="17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ht="15.75" hidden="1" customHeight="1">
      <c r="A912" s="16"/>
      <c r="B912" s="16"/>
      <c r="C912" s="16"/>
      <c r="D912" s="16"/>
      <c r="E912" s="17"/>
      <c r="F912" s="16"/>
      <c r="G912" s="16"/>
      <c r="H912" s="16"/>
      <c r="I912" s="17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ht="15.75" hidden="1" customHeight="1">
      <c r="A913" s="16"/>
      <c r="B913" s="16"/>
      <c r="C913" s="16"/>
      <c r="D913" s="16"/>
      <c r="E913" s="17"/>
      <c r="F913" s="16"/>
      <c r="G913" s="16"/>
      <c r="H913" s="16"/>
      <c r="I913" s="17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ht="15.75" hidden="1" customHeight="1">
      <c r="A914" s="16"/>
      <c r="B914" s="16"/>
      <c r="C914" s="16"/>
      <c r="D914" s="16"/>
      <c r="E914" s="17"/>
      <c r="F914" s="16"/>
      <c r="G914" s="16"/>
      <c r="H914" s="16"/>
      <c r="I914" s="17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ht="15.75" hidden="1" customHeight="1">
      <c r="A915" s="16"/>
      <c r="B915" s="16"/>
      <c r="C915" s="16"/>
      <c r="D915" s="16"/>
      <c r="E915" s="17"/>
      <c r="F915" s="16"/>
      <c r="G915" s="16"/>
      <c r="H915" s="16"/>
      <c r="I915" s="17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ht="15.75" hidden="1" customHeight="1">
      <c r="A916" s="16"/>
      <c r="B916" s="16"/>
      <c r="C916" s="16"/>
      <c r="D916" s="16"/>
      <c r="E916" s="17"/>
      <c r="F916" s="16"/>
      <c r="G916" s="16"/>
      <c r="H916" s="16"/>
      <c r="I916" s="17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ht="15.75" hidden="1" customHeight="1">
      <c r="A917" s="16"/>
      <c r="B917" s="16"/>
      <c r="C917" s="16"/>
      <c r="D917" s="16"/>
      <c r="E917" s="17"/>
      <c r="F917" s="16"/>
      <c r="G917" s="16"/>
      <c r="H917" s="16"/>
      <c r="I917" s="17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ht="15.75" hidden="1" customHeight="1">
      <c r="A918" s="16"/>
      <c r="B918" s="16"/>
      <c r="C918" s="16"/>
      <c r="D918" s="16"/>
      <c r="E918" s="17"/>
      <c r="F918" s="16"/>
      <c r="G918" s="16"/>
      <c r="H918" s="16"/>
      <c r="I918" s="17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ht="15.75" hidden="1" customHeight="1">
      <c r="A919" s="16"/>
      <c r="B919" s="16"/>
      <c r="C919" s="16"/>
      <c r="D919" s="16"/>
      <c r="E919" s="17"/>
      <c r="F919" s="16"/>
      <c r="G919" s="16"/>
      <c r="H919" s="16"/>
      <c r="I919" s="17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ht="15.75" hidden="1" customHeight="1">
      <c r="A920" s="16"/>
      <c r="B920" s="16"/>
      <c r="C920" s="16"/>
      <c r="D920" s="16"/>
      <c r="E920" s="17"/>
      <c r="F920" s="16"/>
      <c r="G920" s="16"/>
      <c r="H920" s="16"/>
      <c r="I920" s="17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ht="15.75" hidden="1" customHeight="1">
      <c r="A921" s="16"/>
      <c r="B921" s="16"/>
      <c r="C921" s="16"/>
      <c r="D921" s="16"/>
      <c r="E921" s="17"/>
      <c r="F921" s="16"/>
      <c r="G921" s="16"/>
      <c r="H921" s="16"/>
      <c r="I921" s="17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ht="15.75" hidden="1" customHeight="1">
      <c r="A922" s="16"/>
      <c r="B922" s="16"/>
      <c r="C922" s="16"/>
      <c r="D922" s="16"/>
      <c r="E922" s="17"/>
      <c r="F922" s="16"/>
      <c r="G922" s="16"/>
      <c r="H922" s="16"/>
      <c r="I922" s="17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ht="15.75" hidden="1" customHeight="1">
      <c r="A923" s="16"/>
      <c r="B923" s="16"/>
      <c r="C923" s="16"/>
      <c r="D923" s="16"/>
      <c r="E923" s="17"/>
      <c r="F923" s="16"/>
      <c r="G923" s="16"/>
      <c r="H923" s="16"/>
      <c r="I923" s="17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ht="15.75" hidden="1" customHeight="1">
      <c r="A924" s="16"/>
      <c r="B924" s="16"/>
      <c r="C924" s="16"/>
      <c r="D924" s="16"/>
      <c r="E924" s="17"/>
      <c r="F924" s="16"/>
      <c r="G924" s="16"/>
      <c r="H924" s="16"/>
      <c r="I924" s="17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ht="15.75" hidden="1" customHeight="1">
      <c r="A925" s="16"/>
      <c r="B925" s="16"/>
      <c r="C925" s="16"/>
      <c r="D925" s="16"/>
      <c r="E925" s="17"/>
      <c r="F925" s="16"/>
      <c r="G925" s="16"/>
      <c r="H925" s="16"/>
      <c r="I925" s="17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ht="15.75" hidden="1" customHeight="1">
      <c r="A926" s="16"/>
      <c r="B926" s="16"/>
      <c r="C926" s="16"/>
      <c r="D926" s="16"/>
      <c r="E926" s="17"/>
      <c r="F926" s="16"/>
      <c r="G926" s="16"/>
      <c r="H926" s="16"/>
      <c r="I926" s="17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ht="15.75" hidden="1" customHeight="1">
      <c r="A927" s="16"/>
      <c r="B927" s="16"/>
      <c r="C927" s="16"/>
      <c r="D927" s="16"/>
      <c r="E927" s="17"/>
      <c r="F927" s="16"/>
      <c r="G927" s="16"/>
      <c r="H927" s="16"/>
      <c r="I927" s="17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ht="15.75" hidden="1" customHeight="1">
      <c r="A928" s="16"/>
      <c r="B928" s="16"/>
      <c r="C928" s="16"/>
      <c r="D928" s="16"/>
      <c r="E928" s="17"/>
      <c r="F928" s="16"/>
      <c r="G928" s="16"/>
      <c r="H928" s="16"/>
      <c r="I928" s="17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ht="15.75" hidden="1" customHeight="1">
      <c r="A929" s="16"/>
      <c r="B929" s="16"/>
      <c r="C929" s="16"/>
      <c r="D929" s="16"/>
      <c r="E929" s="17"/>
      <c r="F929" s="16"/>
      <c r="G929" s="16"/>
      <c r="H929" s="16"/>
      <c r="I929" s="17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ht="15.75" hidden="1" customHeight="1">
      <c r="A930" s="16"/>
      <c r="B930" s="16"/>
      <c r="C930" s="16"/>
      <c r="D930" s="16"/>
      <c r="E930" s="17"/>
      <c r="F930" s="16"/>
      <c r="G930" s="16"/>
      <c r="H930" s="16"/>
      <c r="I930" s="17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ht="15.75" hidden="1" customHeight="1">
      <c r="A931" s="16"/>
      <c r="B931" s="16"/>
      <c r="C931" s="16"/>
      <c r="D931" s="16"/>
      <c r="E931" s="17"/>
      <c r="F931" s="16"/>
      <c r="G931" s="16"/>
      <c r="H931" s="16"/>
      <c r="I931" s="17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ht="15.75" hidden="1" customHeight="1">
      <c r="A932" s="16"/>
      <c r="B932" s="16"/>
      <c r="C932" s="16"/>
      <c r="D932" s="16"/>
      <c r="E932" s="17"/>
      <c r="F932" s="16"/>
      <c r="G932" s="16"/>
      <c r="H932" s="16"/>
      <c r="I932" s="17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ht="15.75" hidden="1" customHeight="1">
      <c r="A933" s="16"/>
      <c r="B933" s="16"/>
      <c r="C933" s="16"/>
      <c r="D933" s="16"/>
      <c r="E933" s="17"/>
      <c r="F933" s="16"/>
      <c r="G933" s="16"/>
      <c r="H933" s="16"/>
      <c r="I933" s="17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ht="15.75" hidden="1" customHeight="1">
      <c r="A934" s="16"/>
      <c r="B934" s="16"/>
      <c r="C934" s="16"/>
      <c r="D934" s="16"/>
      <c r="E934" s="17"/>
      <c r="F934" s="16"/>
      <c r="G934" s="16"/>
      <c r="H934" s="16"/>
      <c r="I934" s="17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ht="15.75" hidden="1" customHeight="1">
      <c r="A935" s="16"/>
      <c r="B935" s="16"/>
      <c r="C935" s="16"/>
      <c r="D935" s="16"/>
      <c r="E935" s="17"/>
      <c r="F935" s="16"/>
      <c r="G935" s="16"/>
      <c r="H935" s="16"/>
      <c r="I935" s="17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ht="15.75" hidden="1" customHeight="1">
      <c r="A936" s="16"/>
      <c r="B936" s="16"/>
      <c r="C936" s="16"/>
      <c r="D936" s="16"/>
      <c r="E936" s="17"/>
      <c r="F936" s="16"/>
      <c r="G936" s="16"/>
      <c r="H936" s="16"/>
      <c r="I936" s="17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ht="15.75" hidden="1" customHeight="1">
      <c r="A937" s="16"/>
      <c r="B937" s="16"/>
      <c r="C937" s="16"/>
      <c r="D937" s="16"/>
      <c r="E937" s="17"/>
      <c r="F937" s="16"/>
      <c r="G937" s="16"/>
      <c r="H937" s="16"/>
      <c r="I937" s="17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ht="15.75" hidden="1" customHeight="1">
      <c r="A938" s="16"/>
      <c r="B938" s="16"/>
      <c r="C938" s="16"/>
      <c r="D938" s="16"/>
      <c r="E938" s="17"/>
      <c r="F938" s="16"/>
      <c r="G938" s="16"/>
      <c r="H938" s="16"/>
      <c r="I938" s="17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ht="15.75" hidden="1" customHeight="1">
      <c r="A939" s="16"/>
      <c r="B939" s="16"/>
      <c r="C939" s="16"/>
      <c r="D939" s="16"/>
      <c r="E939" s="17"/>
      <c r="F939" s="16"/>
      <c r="G939" s="16"/>
      <c r="H939" s="16"/>
      <c r="I939" s="17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ht="15.75" hidden="1" customHeight="1">
      <c r="A940" s="16"/>
      <c r="B940" s="16"/>
      <c r="C940" s="16"/>
      <c r="D940" s="16"/>
      <c r="E940" s="17"/>
      <c r="F940" s="16"/>
      <c r="G940" s="16"/>
      <c r="H940" s="16"/>
      <c r="I940" s="17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ht="15.75" hidden="1" customHeight="1">
      <c r="A941" s="16"/>
      <c r="B941" s="16"/>
      <c r="C941" s="16"/>
      <c r="D941" s="16"/>
      <c r="E941" s="17"/>
      <c r="F941" s="16"/>
      <c r="G941" s="16"/>
      <c r="H941" s="16"/>
      <c r="I941" s="17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ht="15.75" hidden="1" customHeight="1">
      <c r="A942" s="16"/>
      <c r="B942" s="16"/>
      <c r="C942" s="16"/>
      <c r="D942" s="16"/>
      <c r="E942" s="17"/>
      <c r="F942" s="16"/>
      <c r="G942" s="16"/>
      <c r="H942" s="16"/>
      <c r="I942" s="17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ht="15.75" hidden="1" customHeight="1">
      <c r="A943" s="16"/>
      <c r="B943" s="16"/>
      <c r="C943" s="16"/>
      <c r="D943" s="16"/>
      <c r="E943" s="17"/>
      <c r="F943" s="16"/>
      <c r="G943" s="16"/>
      <c r="H943" s="16"/>
      <c r="I943" s="17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ht="15.75" hidden="1" customHeight="1">
      <c r="A944" s="16"/>
      <c r="B944" s="16"/>
      <c r="C944" s="16"/>
      <c r="D944" s="16"/>
      <c r="E944" s="17"/>
      <c r="F944" s="16"/>
      <c r="G944" s="16"/>
      <c r="H944" s="16"/>
      <c r="I944" s="17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ht="15.75" hidden="1" customHeight="1">
      <c r="A945" s="16"/>
      <c r="B945" s="16"/>
      <c r="C945" s="16"/>
      <c r="D945" s="16"/>
      <c r="E945" s="17"/>
      <c r="F945" s="16"/>
      <c r="G945" s="16"/>
      <c r="H945" s="16"/>
      <c r="I945" s="17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ht="15.75" hidden="1" customHeight="1">
      <c r="A946" s="16"/>
      <c r="B946" s="16"/>
      <c r="C946" s="16"/>
      <c r="D946" s="16"/>
      <c r="E946" s="17"/>
      <c r="F946" s="16"/>
      <c r="G946" s="16"/>
      <c r="H946" s="16"/>
      <c r="I946" s="17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ht="15.75" hidden="1" customHeight="1">
      <c r="A947" s="16"/>
      <c r="B947" s="16"/>
      <c r="C947" s="16"/>
      <c r="D947" s="16"/>
      <c r="E947" s="17"/>
      <c r="F947" s="16"/>
      <c r="G947" s="16"/>
      <c r="H947" s="16"/>
      <c r="I947" s="17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ht="15.75" hidden="1" customHeight="1">
      <c r="A948" s="16"/>
      <c r="B948" s="16"/>
      <c r="C948" s="16"/>
      <c r="D948" s="16"/>
      <c r="E948" s="17"/>
      <c r="F948" s="16"/>
      <c r="G948" s="16"/>
      <c r="H948" s="16"/>
      <c r="I948" s="17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ht="15.75" hidden="1" customHeight="1">
      <c r="A949" s="16"/>
      <c r="B949" s="16"/>
      <c r="C949" s="16"/>
      <c r="D949" s="16"/>
      <c r="E949" s="17"/>
      <c r="F949" s="16"/>
      <c r="G949" s="16"/>
      <c r="H949" s="16"/>
      <c r="I949" s="17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ht="15.75" hidden="1" customHeight="1">
      <c r="A950" s="16"/>
      <c r="B950" s="16"/>
      <c r="C950" s="16"/>
      <c r="D950" s="16"/>
      <c r="E950" s="17"/>
      <c r="F950" s="16"/>
      <c r="G950" s="16"/>
      <c r="H950" s="16"/>
      <c r="I950" s="17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ht="15.75" hidden="1" customHeight="1">
      <c r="A951" s="16"/>
      <c r="B951" s="16"/>
      <c r="C951" s="16"/>
      <c r="D951" s="16"/>
      <c r="E951" s="17"/>
      <c r="F951" s="16"/>
      <c r="G951" s="16"/>
      <c r="H951" s="16"/>
      <c r="I951" s="17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ht="15.75" hidden="1" customHeight="1">
      <c r="A952" s="16"/>
      <c r="B952" s="16"/>
      <c r="C952" s="16"/>
      <c r="D952" s="16"/>
      <c r="E952" s="17"/>
      <c r="F952" s="16"/>
      <c r="G952" s="16"/>
      <c r="H952" s="16"/>
      <c r="I952" s="17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ht="15.75" hidden="1" customHeight="1">
      <c r="A953" s="16"/>
      <c r="B953" s="16"/>
      <c r="C953" s="16"/>
      <c r="D953" s="16"/>
      <c r="E953" s="17"/>
      <c r="F953" s="16"/>
      <c r="G953" s="16"/>
      <c r="H953" s="16"/>
      <c r="I953" s="17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ht="15.75" hidden="1" customHeight="1">
      <c r="A954" s="16"/>
      <c r="B954" s="16"/>
      <c r="C954" s="16"/>
      <c r="D954" s="16"/>
      <c r="E954" s="17"/>
      <c r="F954" s="16"/>
      <c r="G954" s="16"/>
      <c r="H954" s="16"/>
      <c r="I954" s="17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ht="15.75" hidden="1" customHeight="1">
      <c r="A955" s="16"/>
      <c r="B955" s="16"/>
      <c r="C955" s="16"/>
      <c r="D955" s="16"/>
      <c r="E955" s="17"/>
      <c r="F955" s="16"/>
      <c r="G955" s="16"/>
      <c r="H955" s="16"/>
      <c r="I955" s="17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ht="15.75" hidden="1" customHeight="1">
      <c r="A956" s="16"/>
      <c r="B956" s="16"/>
      <c r="C956" s="16"/>
      <c r="D956" s="16"/>
      <c r="E956" s="17"/>
      <c r="F956" s="16"/>
      <c r="G956" s="16"/>
      <c r="H956" s="16"/>
      <c r="I956" s="17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ht="15.75" hidden="1" customHeight="1">
      <c r="A957" s="16"/>
      <c r="B957" s="16"/>
      <c r="C957" s="16"/>
      <c r="D957" s="16"/>
      <c r="E957" s="17"/>
      <c r="F957" s="16"/>
      <c r="G957" s="16"/>
      <c r="H957" s="16"/>
      <c r="I957" s="17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ht="15.75" hidden="1" customHeight="1">
      <c r="A958" s="16"/>
      <c r="B958" s="16"/>
      <c r="C958" s="16"/>
      <c r="D958" s="16"/>
      <c r="E958" s="17"/>
      <c r="F958" s="16"/>
      <c r="G958" s="16"/>
      <c r="H958" s="16"/>
      <c r="I958" s="17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ht="15.75" hidden="1" customHeight="1">
      <c r="A959" s="16"/>
      <c r="B959" s="16"/>
      <c r="C959" s="16"/>
      <c r="D959" s="16"/>
      <c r="E959" s="17"/>
      <c r="F959" s="16"/>
      <c r="G959" s="16"/>
      <c r="H959" s="16"/>
      <c r="I959" s="17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ht="15.75" hidden="1" customHeight="1">
      <c r="A960" s="16"/>
      <c r="B960" s="16"/>
      <c r="C960" s="16"/>
      <c r="D960" s="16"/>
      <c r="E960" s="17"/>
      <c r="F960" s="16"/>
      <c r="G960" s="16"/>
      <c r="H960" s="16"/>
      <c r="I960" s="17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ht="15.75" hidden="1" customHeight="1">
      <c r="A961" s="16"/>
      <c r="B961" s="16"/>
      <c r="C961" s="16"/>
      <c r="D961" s="16"/>
      <c r="E961" s="17"/>
      <c r="F961" s="16"/>
      <c r="G961" s="16"/>
      <c r="H961" s="16"/>
      <c r="I961" s="17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ht="15.75" hidden="1" customHeight="1">
      <c r="A962" s="16"/>
      <c r="B962" s="16"/>
      <c r="C962" s="16"/>
      <c r="D962" s="16"/>
      <c r="E962" s="17"/>
      <c r="F962" s="16"/>
      <c r="G962" s="16"/>
      <c r="H962" s="16"/>
      <c r="I962" s="17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ht="15.75" hidden="1" customHeight="1">
      <c r="A963" s="16"/>
      <c r="B963" s="16"/>
      <c r="C963" s="16"/>
      <c r="D963" s="16"/>
      <c r="E963" s="17"/>
      <c r="F963" s="16"/>
      <c r="G963" s="16"/>
      <c r="H963" s="16"/>
      <c r="I963" s="17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ht="15.75" hidden="1" customHeight="1">
      <c r="A964" s="16"/>
      <c r="B964" s="16"/>
      <c r="C964" s="16"/>
      <c r="D964" s="16"/>
      <c r="E964" s="17"/>
      <c r="F964" s="16"/>
      <c r="G964" s="16"/>
      <c r="H964" s="16"/>
      <c r="I964" s="17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ht="15.75" hidden="1" customHeight="1">
      <c r="A965" s="16"/>
      <c r="B965" s="16"/>
      <c r="C965" s="16"/>
      <c r="D965" s="16"/>
      <c r="E965" s="17"/>
      <c r="F965" s="16"/>
      <c r="G965" s="16"/>
      <c r="H965" s="16"/>
      <c r="I965" s="17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ht="15.75" hidden="1" customHeight="1">
      <c r="A966" s="16"/>
      <c r="B966" s="16"/>
      <c r="C966" s="16"/>
      <c r="D966" s="16"/>
      <c r="E966" s="17"/>
      <c r="F966" s="16"/>
      <c r="G966" s="16"/>
      <c r="H966" s="16"/>
      <c r="I966" s="17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ht="15.75" hidden="1" customHeight="1">
      <c r="A967" s="16"/>
      <c r="B967" s="16"/>
      <c r="C967" s="16"/>
      <c r="D967" s="16"/>
      <c r="E967" s="17"/>
      <c r="F967" s="16"/>
      <c r="G967" s="16"/>
      <c r="H967" s="16"/>
      <c r="I967" s="17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ht="15.75" hidden="1" customHeight="1">
      <c r="A968" s="16"/>
      <c r="B968" s="16"/>
      <c r="C968" s="16"/>
      <c r="D968" s="16"/>
      <c r="E968" s="17"/>
      <c r="F968" s="16"/>
      <c r="G968" s="16"/>
      <c r="H968" s="16"/>
      <c r="I968" s="17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ht="15.75" hidden="1" customHeight="1">
      <c r="A969" s="16"/>
      <c r="B969" s="16"/>
      <c r="C969" s="16"/>
      <c r="D969" s="16"/>
      <c r="E969" s="17"/>
      <c r="F969" s="16"/>
      <c r="G969" s="16"/>
      <c r="H969" s="16"/>
      <c r="I969" s="17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ht="15.75" hidden="1" customHeight="1">
      <c r="A970" s="16"/>
      <c r="B970" s="16"/>
      <c r="C970" s="16"/>
      <c r="D970" s="16"/>
      <c r="E970" s="17"/>
      <c r="F970" s="16"/>
      <c r="G970" s="16"/>
      <c r="H970" s="16"/>
      <c r="I970" s="17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ht="15.75" hidden="1" customHeight="1">
      <c r="A971" s="16"/>
      <c r="B971" s="16"/>
      <c r="C971" s="16"/>
      <c r="D971" s="16"/>
      <c r="E971" s="17"/>
      <c r="F971" s="16"/>
      <c r="G971" s="16"/>
      <c r="H971" s="16"/>
      <c r="I971" s="17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ht="15.75" hidden="1" customHeight="1">
      <c r="A972" s="16"/>
      <c r="B972" s="16"/>
      <c r="C972" s="16"/>
      <c r="D972" s="16"/>
      <c r="E972" s="17"/>
      <c r="F972" s="16"/>
      <c r="G972" s="16"/>
      <c r="H972" s="16"/>
      <c r="I972" s="17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ht="15.75" hidden="1" customHeight="1">
      <c r="A973" s="16"/>
      <c r="B973" s="16"/>
      <c r="C973" s="16"/>
      <c r="D973" s="16"/>
      <c r="E973" s="17"/>
      <c r="F973" s="16"/>
      <c r="G973" s="16"/>
      <c r="H973" s="16"/>
      <c r="I973" s="17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ht="15.75" hidden="1" customHeight="1">
      <c r="A974" s="16"/>
      <c r="B974" s="16"/>
      <c r="C974" s="16"/>
      <c r="D974" s="16"/>
      <c r="E974" s="17"/>
      <c r="F974" s="16"/>
      <c r="G974" s="16"/>
      <c r="H974" s="16"/>
      <c r="I974" s="17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ht="15.75" hidden="1" customHeight="1">
      <c r="A975" s="16"/>
      <c r="B975" s="16"/>
      <c r="C975" s="16"/>
      <c r="D975" s="16"/>
      <c r="E975" s="17"/>
      <c r="F975" s="16"/>
      <c r="G975" s="16"/>
      <c r="H975" s="16"/>
      <c r="I975" s="17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ht="15.75" hidden="1" customHeight="1">
      <c r="A976" s="16"/>
      <c r="B976" s="16"/>
      <c r="C976" s="16"/>
      <c r="D976" s="16"/>
      <c r="E976" s="17"/>
      <c r="F976" s="16"/>
      <c r="G976" s="16"/>
      <c r="H976" s="16"/>
      <c r="I976" s="17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ht="15.75" customHeight="1">
      <c r="A977" s="16"/>
      <c r="B977" s="16"/>
      <c r="C977" s="16"/>
      <c r="D977" s="16"/>
      <c r="E977" s="17"/>
      <c r="F977" s="16"/>
      <c r="G977" s="16"/>
      <c r="H977" s="16"/>
      <c r="I977" s="17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ht="15.75" customHeight="1">
      <c r="A978" s="16"/>
      <c r="B978" s="16"/>
      <c r="C978" s="16"/>
      <c r="D978" s="16"/>
      <c r="E978" s="17"/>
      <c r="F978" s="16"/>
      <c r="G978" s="16"/>
      <c r="H978" s="16"/>
      <c r="I978" s="17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ht="15.75" customHeight="1">
      <c r="A979" s="16"/>
      <c r="B979" s="16"/>
      <c r="C979" s="16"/>
      <c r="D979" s="16"/>
      <c r="E979" s="17"/>
      <c r="F979" s="16"/>
      <c r="G979" s="16"/>
      <c r="H979" s="16"/>
      <c r="I979" s="17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ht="15.75" customHeight="1">
      <c r="A980" s="16"/>
      <c r="B980" s="16"/>
      <c r="C980" s="16"/>
      <c r="D980" s="16"/>
      <c r="E980" s="17"/>
      <c r="F980" s="16" t="s">
        <v>731</v>
      </c>
      <c r="G980" s="16">
        <f>ABS(SUM(G8:G727))</f>
        <v>25835.03223</v>
      </c>
      <c r="H980" s="22" t="s">
        <v>732</v>
      </c>
      <c r="I980" s="19">
        <f>COUNT(Tabelle1!E7:E726)</f>
        <v>720</v>
      </c>
      <c r="J980" s="16"/>
      <c r="K980" s="16" t="s">
        <v>733</v>
      </c>
      <c r="L980" s="16">
        <f>SUM(Tabelle1!E7:E726)</f>
        <v>-95.39999689</v>
      </c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ht="15.75" customHeight="1">
      <c r="A981" s="16"/>
      <c r="B981" s="16"/>
      <c r="C981" s="16"/>
      <c r="D981" s="16"/>
      <c r="E981" s="17"/>
      <c r="F981" s="18" t="s">
        <v>734</v>
      </c>
      <c r="G981" s="18">
        <f>COUNT(E8:E727)</f>
        <v>720</v>
      </c>
      <c r="H981" s="16"/>
      <c r="I981" s="17"/>
      <c r="J981" s="16"/>
      <c r="K981" s="23" t="s">
        <v>730</v>
      </c>
      <c r="L981" s="16">
        <f>SUM(I8:I727)</f>
        <v>21224.61</v>
      </c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ht="15.75" customHeight="1">
      <c r="A982" s="16"/>
      <c r="B982" s="16"/>
      <c r="C982" s="16"/>
      <c r="D982" s="16"/>
      <c r="E982" s="17"/>
      <c r="F982" s="18" t="s">
        <v>2</v>
      </c>
      <c r="G982" s="24">
        <f>IF(I980&lt;G981,"",G980/G981)</f>
        <v>35.88198921</v>
      </c>
      <c r="H982" s="16"/>
      <c r="I982" s="17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ht="15.75" customHeight="1">
      <c r="A983" s="16"/>
      <c r="B983" s="16"/>
      <c r="C983" s="16"/>
      <c r="D983" s="16"/>
      <c r="E983" s="17"/>
      <c r="F983" s="16"/>
      <c r="G983" s="16"/>
      <c r="H983" s="16"/>
      <c r="I983" s="17"/>
      <c r="J983" s="16"/>
      <c r="K983" s="16" t="s">
        <v>735</v>
      </c>
      <c r="L983" s="25">
        <f>IF(I980&lt;G981,"",L980-L981)</f>
        <v>-21320.01</v>
      </c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ht="15.75" customHeight="1">
      <c r="A984" s="16"/>
      <c r="B984" s="16"/>
      <c r="C984" s="16"/>
      <c r="D984" s="16"/>
      <c r="E984" s="17"/>
      <c r="F984" s="16"/>
      <c r="G984" s="16"/>
      <c r="H984" s="16"/>
      <c r="I984" s="17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ht="15.75" customHeight="1">
      <c r="A985" s="16"/>
      <c r="B985" s="16"/>
      <c r="C985" s="16"/>
      <c r="D985" s="16"/>
      <c r="E985" s="17"/>
      <c r="F985" s="16"/>
      <c r="G985" s="16"/>
      <c r="H985" s="16"/>
      <c r="I985" s="17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ht="15.75" customHeight="1">
      <c r="A986" s="16"/>
      <c r="B986" s="16"/>
      <c r="C986" s="16"/>
      <c r="D986" s="16"/>
      <c r="E986" s="17"/>
      <c r="F986" s="16"/>
      <c r="G986" s="16"/>
      <c r="H986" s="16"/>
      <c r="I986" s="17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ht="15.75" customHeight="1">
      <c r="A987" s="16"/>
      <c r="B987" s="16"/>
      <c r="C987" s="16"/>
      <c r="D987" s="16"/>
      <c r="E987" s="17"/>
      <c r="F987" s="16"/>
      <c r="G987" s="16"/>
      <c r="H987" s="16"/>
      <c r="I987" s="17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ht="15.75" customHeight="1">
      <c r="A988" s="16"/>
      <c r="B988" s="16"/>
      <c r="C988" s="16"/>
      <c r="D988" s="16"/>
      <c r="E988" s="17"/>
      <c r="F988" s="16"/>
      <c r="G988" s="16"/>
      <c r="H988" s="16"/>
      <c r="I988" s="17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ht="15.75" customHeight="1">
      <c r="A989" s="16"/>
      <c r="B989" s="16"/>
      <c r="C989" s="16"/>
      <c r="D989" s="16"/>
      <c r="E989" s="17"/>
      <c r="F989" s="16"/>
      <c r="G989" s="16"/>
      <c r="H989" s="16"/>
      <c r="I989" s="17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ht="15.75" customHeight="1">
      <c r="A990" s="16"/>
      <c r="B990" s="16"/>
      <c r="C990" s="16"/>
      <c r="D990" s="16"/>
      <c r="E990" s="17"/>
      <c r="F990" s="16"/>
      <c r="G990" s="16"/>
      <c r="H990" s="16"/>
      <c r="I990" s="17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ht="15.75" customHeight="1">
      <c r="A991" s="16"/>
      <c r="B991" s="16"/>
      <c r="C991" s="16"/>
      <c r="D991" s="16"/>
      <c r="E991" s="17"/>
      <c r="F991" s="16"/>
      <c r="G991" s="16"/>
      <c r="H991" s="16"/>
      <c r="I991" s="17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ht="15.75" customHeight="1">
      <c r="A992" s="16"/>
      <c r="B992" s="16"/>
      <c r="C992" s="16"/>
      <c r="D992" s="16"/>
      <c r="E992" s="17"/>
      <c r="F992" s="16"/>
      <c r="G992" s="16"/>
      <c r="H992" s="16"/>
      <c r="I992" s="17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ht="15.75" customHeight="1">
      <c r="A993" s="16"/>
      <c r="B993" s="16"/>
      <c r="C993" s="16"/>
      <c r="D993" s="16"/>
      <c r="E993" s="17"/>
      <c r="F993" s="16"/>
      <c r="G993" s="16"/>
      <c r="H993" s="16"/>
      <c r="I993" s="17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ht="15.75" customHeight="1">
      <c r="A994" s="16"/>
      <c r="B994" s="16"/>
      <c r="C994" s="16"/>
      <c r="D994" s="16"/>
      <c r="E994" s="17"/>
      <c r="F994" s="16"/>
      <c r="G994" s="16"/>
      <c r="H994" s="16"/>
      <c r="I994" s="17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ht="15.75" customHeight="1">
      <c r="A995" s="16"/>
      <c r="B995" s="16"/>
      <c r="C995" s="16"/>
      <c r="D995" s="16"/>
      <c r="E995" s="17"/>
      <c r="F995" s="16"/>
      <c r="G995" s="16"/>
      <c r="H995" s="16"/>
      <c r="I995" s="17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ht="15.75" customHeight="1">
      <c r="A996" s="16"/>
      <c r="B996" s="16"/>
      <c r="C996" s="16"/>
      <c r="D996" s="16"/>
      <c r="E996" s="17"/>
      <c r="F996" s="16"/>
      <c r="G996" s="16"/>
      <c r="H996" s="16"/>
      <c r="I996" s="17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ht="15.75" customHeight="1">
      <c r="A997" s="16"/>
      <c r="B997" s="16"/>
      <c r="C997" s="16"/>
      <c r="D997" s="16"/>
      <c r="E997" s="17"/>
      <c r="F997" s="16"/>
      <c r="G997" s="16"/>
      <c r="H997" s="16"/>
      <c r="I997" s="17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ht="15.75" customHeight="1">
      <c r="A998" s="16"/>
      <c r="B998" s="16"/>
      <c r="C998" s="16"/>
      <c r="D998" s="16"/>
      <c r="E998" s="17"/>
      <c r="F998" s="16"/>
      <c r="G998" s="16"/>
      <c r="H998" s="16"/>
      <c r="I998" s="17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ht="15.75" customHeight="1">
      <c r="A999" s="16"/>
      <c r="B999" s="16"/>
      <c r="C999" s="16"/>
      <c r="D999" s="16"/>
      <c r="E999" s="17"/>
      <c r="F999" s="16"/>
      <c r="G999" s="16"/>
      <c r="H999" s="16"/>
      <c r="I999" s="17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ht="15.75" customHeight="1">
      <c r="A1000" s="16"/>
      <c r="B1000" s="16"/>
      <c r="C1000" s="16"/>
      <c r="D1000" s="16"/>
      <c r="E1000" s="17"/>
      <c r="F1000" s="16"/>
      <c r="G1000" s="16"/>
      <c r="H1000" s="16"/>
      <c r="I1000" s="17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Mayte Ballestar</dc:creator>
</cp:coreProperties>
</file>